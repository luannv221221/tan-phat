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HOANX\Desktop\"/>
    </mc:Choice>
  </mc:AlternateContent>
  <bookViews>
    <workbookView xWindow="0" yWindow="0" windowWidth="23040" windowHeight="9084" tabRatio="624"/>
  </bookViews>
  <sheets>
    <sheet name="Tracking" sheetId="6" r:id="rId1"/>
    <sheet name="Task" sheetId="11" state="hidden" r:id="rId2"/>
    <sheet name="Rule" sheetId="10" state="hidden" r:id="rId3"/>
    <sheet name="MENU" sheetId="16" r:id="rId4"/>
    <sheet name="Biểu mẫu" sheetId="14" r:id="rId5"/>
    <sheet name="Công việc" sheetId="18" r:id="rId6"/>
    <sheet name="Help" sheetId="9" r:id="rId7"/>
  </sheets>
  <definedNames>
    <definedName name="Country_Name">#REF!</definedName>
    <definedName name="ISO_Alpha_2_code">#REF!</definedName>
    <definedName name="_xlnm.Print_Area" localSheetId="6">Help!$A$1:$C$42</definedName>
    <definedName name="_xlnm.Print_Titles" localSheetId="0">Tracking!$12:$12</definedName>
  </definedNames>
  <calcPr calcId="152511"/>
</workbook>
</file>

<file path=xl/calcChain.xml><?xml version="1.0" encoding="utf-8"?>
<calcChain xmlns="http://schemas.openxmlformats.org/spreadsheetml/2006/main">
  <c r="B55" i="6" l="1"/>
  <c r="B56" i="6"/>
  <c r="B41" i="6"/>
  <c r="B73" i="6"/>
  <c r="B74" i="6"/>
  <c r="B75" i="6"/>
  <c r="B76" i="6"/>
  <c r="B63" i="6"/>
  <c r="B64" i="6"/>
  <c r="B65" i="6"/>
  <c r="B66" i="6"/>
  <c r="B16" i="6"/>
  <c r="B17" i="6"/>
  <c r="B19" i="6"/>
  <c r="B21" i="6"/>
  <c r="B22" i="6"/>
  <c r="B36" i="6"/>
  <c r="B37" i="6"/>
  <c r="B38" i="6"/>
  <c r="B39" i="6"/>
  <c r="B40" i="6"/>
  <c r="B42" i="6"/>
  <c r="B43" i="6"/>
  <c r="B44" i="6"/>
  <c r="B45" i="6"/>
  <c r="B46" i="6"/>
  <c r="B47" i="6"/>
  <c r="B49" i="6"/>
  <c r="B50" i="6"/>
  <c r="B51" i="6"/>
  <c r="B52" i="6"/>
  <c r="B54" i="6"/>
  <c r="B70" i="6"/>
  <c r="B71" i="6"/>
  <c r="B72" i="6"/>
  <c r="B62" i="6"/>
  <c r="B67" i="6"/>
  <c r="B68" i="6"/>
  <c r="B69" i="6"/>
  <c r="B90" i="6"/>
  <c r="B91" i="6"/>
  <c r="B82" i="6"/>
  <c r="E6" i="6"/>
  <c r="B88" i="6"/>
  <c r="B15" i="6"/>
  <c r="B57" i="6"/>
  <c r="B58" i="6"/>
  <c r="B59" i="6"/>
  <c r="B60" i="6"/>
  <c r="B61" i="6"/>
  <c r="B77" i="6"/>
  <c r="B78" i="6"/>
  <c r="B79" i="6"/>
  <c r="B80" i="6"/>
  <c r="B81" i="6"/>
  <c r="B83" i="6"/>
  <c r="B86" i="6"/>
  <c r="B84" i="6"/>
  <c r="B87" i="6"/>
  <c r="B14" i="6"/>
  <c r="G6" i="6"/>
  <c r="F6" i="6"/>
  <c r="D6" i="6"/>
  <c r="C6" i="6" l="1"/>
</calcChain>
</file>

<file path=xl/sharedStrings.xml><?xml version="1.0" encoding="utf-8"?>
<sst xmlns="http://schemas.openxmlformats.org/spreadsheetml/2006/main" count="545" uniqueCount="414">
  <si>
    <t>STATUS</t>
  </si>
  <si>
    <t>DUNS 
NUMBER</t>
  </si>
  <si>
    <t>CITY</t>
  </si>
  <si>
    <t>STATE</t>
  </si>
  <si>
    <t>ID</t>
  </si>
  <si>
    <t>COMPANY
NAME*</t>
  </si>
  <si>
    <t>Tasks</t>
  </si>
  <si>
    <t>Start Date</t>
  </si>
  <si>
    <t>End Date</t>
  </si>
  <si>
    <t>Status</t>
  </si>
  <si>
    <t>Open</t>
  </si>
  <si>
    <t>Closed</t>
  </si>
  <si>
    <t>Công việc chưa hoàn thành. Chưa làm đến, đang làm, hoặc đang sửa lỗi</t>
  </si>
  <si>
    <t>Công việc đã hoàn thành, đã test xong</t>
  </si>
  <si>
    <t>Total</t>
  </si>
  <si>
    <t>Quản lý khách hàng</t>
  </si>
  <si>
    <t>CÔNG VIỆC CHUNG</t>
  </si>
  <si>
    <t>+ CÔNG VIỆC CHUNG</t>
  </si>
  <si>
    <t xml:space="preserve">     Khai báo và khởi tạo dữ liệu chung cho hệ thống</t>
  </si>
  <si>
    <t xml:space="preserve">    Các nghiệp vụ và chức năng liên quan đến kho</t>
  </si>
  <si>
    <t>HƯỚNG DẪN SỬ DỤNG</t>
  </si>
  <si>
    <t>Chú giải</t>
  </si>
  <si>
    <t>Note</t>
  </si>
  <si>
    <t>Mua hàng</t>
  </si>
  <si>
    <t>Tạo phiếu yêu cầu</t>
  </si>
  <si>
    <t>+ Quy trình viết tài liệu không đạt, dành ít thời gian cho quá trình viết tài liệu, khảo sát người dùng</t>
  </si>
  <si>
    <t>+KHông đáp ứng được cách viết theo yêu cầu của IT, chọn framework để viết dẫn đến vỡ trận</t>
  </si>
  <si>
    <t>+Không kiếm soát được code vì không theo mô hình MVC</t>
  </si>
  <si>
    <t>+ Không có 1 BA bao quát toàn bộ dự án, những nhân sự đang làm chưa đủ chuyên môn.</t>
  </si>
  <si>
    <t>+Không đào tạo nhân sự cùng dự án dẫn đến validate không đủ</t>
  </si>
  <si>
    <t>Các công việc vẫn còn phát sinh thêm</t>
  </si>
  <si>
    <t>+Không đánh giá được thời gian dành cho dự án, bỏ qua giai đoạn tìm hiểu</t>
  </si>
  <si>
    <t>+ Không có 1 code đủ sức viết theo toàn bộ hệ thống, không thống nhất mô hình cùng code tân phát</t>
  </si>
  <si>
    <t>NGHIỆP VỤ WEBSITE</t>
  </si>
  <si>
    <t>CHĂM SÓC KHÁCH HÀNG</t>
  </si>
  <si>
    <t>ERP Tân Phát Project</t>
  </si>
  <si>
    <t>PHÂN HỆ KINH DOANH</t>
  </si>
  <si>
    <t>Báo giá</t>
  </si>
  <si>
    <t>Hợp đồng</t>
  </si>
  <si>
    <t xml:space="preserve">   Danh sách khách hàng</t>
  </si>
  <si>
    <t xml:space="preserve">   Công nợ khách hàng</t>
  </si>
  <si>
    <t>CSKH</t>
  </si>
  <si>
    <t>WEBSITE</t>
  </si>
  <si>
    <t>DANH MỤC</t>
  </si>
  <si>
    <t>HỆ THỐNG</t>
  </si>
  <si>
    <t>Quản lý giá nhập</t>
  </si>
  <si>
    <t xml:space="preserve">  Quản lý giá bán</t>
  </si>
  <si>
    <t>Phiếu nhập mua hàng</t>
  </si>
  <si>
    <t>Phiếu nhập chi phí mua hàng</t>
  </si>
  <si>
    <t>Phiếu thu</t>
  </si>
  <si>
    <t>Giấy báo nợ</t>
  </si>
  <si>
    <t>Phiếu kế toán</t>
  </si>
  <si>
    <t>Phiếu điều chuyển tiền</t>
  </si>
  <si>
    <t>Phiếu xuất trả lại nhà cung cấp</t>
  </si>
  <si>
    <t>Sổ quỹ</t>
  </si>
  <si>
    <t>Biểu đồ biến động quỹ</t>
  </si>
  <si>
    <t>Sổ chi tiết công nợ 1 khách hàng</t>
  </si>
  <si>
    <t>Bảng tổng hợp số dư công nợ</t>
  </si>
  <si>
    <t>Bảng cân đối phát sinh công nợ</t>
  </si>
  <si>
    <t>Phiếu nhập kho</t>
  </si>
  <si>
    <t>Thẻ kho</t>
  </si>
  <si>
    <t>Báo cáo tồn kho</t>
  </si>
  <si>
    <t>Báo cáo tồn theo nhiều kho</t>
  </si>
  <si>
    <t>Danh mục nhóm khách hàng</t>
  </si>
  <si>
    <t>Danh mục hàng hóa</t>
  </si>
  <si>
    <t>Danh mục kho hàng</t>
  </si>
  <si>
    <t>Danh mục tài khoản</t>
  </si>
  <si>
    <t>Danh mục mã vụ việc</t>
  </si>
  <si>
    <t>TASK_76</t>
  </si>
  <si>
    <t>TASK_77</t>
  </si>
  <si>
    <t>TASK_78</t>
  </si>
  <si>
    <t>TASK_79</t>
  </si>
  <si>
    <t>Các nghiệp vụ và chức năng liên quan đến kế toán</t>
  </si>
  <si>
    <t>+ PHÂN HỆ KẾ TOÁN</t>
  </si>
  <si>
    <t>+ PHÂN HỆ KINH DOANH</t>
  </si>
  <si>
    <t>+ PHÂN HỆ KHO</t>
  </si>
  <si>
    <t>PHÂN HỆ KHO</t>
  </si>
  <si>
    <t>+ PHÂN HỆ CHĂM SÓC KHÁCH HÀNG</t>
  </si>
  <si>
    <t>+ PHÂN HỆ WEBSITE</t>
  </si>
  <si>
    <t xml:space="preserve">     Các nghiệp vụ và chứng năng có trên website</t>
  </si>
  <si>
    <r>
      <rPr>
        <b/>
        <sz val="12"/>
        <color indexed="8"/>
        <rFont val="Times New Roman"/>
        <family val="1"/>
      </rPr>
      <t>Total:</t>
    </r>
    <r>
      <rPr>
        <sz val="12"/>
        <color indexed="8"/>
        <rFont val="Times New Roman"/>
        <family val="1"/>
      </rPr>
      <t xml:space="preserve"> Tất cả các công việc phải làm</t>
    </r>
  </si>
  <si>
    <r>
      <rPr>
        <b/>
        <sz val="12"/>
        <color indexed="8"/>
        <rFont val="Times New Roman"/>
        <family val="1"/>
      </rPr>
      <t xml:space="preserve">Closed: </t>
    </r>
    <r>
      <rPr>
        <sz val="12"/>
        <color indexed="8"/>
        <rFont val="Times New Roman"/>
        <family val="1"/>
      </rPr>
      <t>Những việc đã hoàn thành và test xong</t>
    </r>
  </si>
  <si>
    <t>Các nghiệp vụ và chức năng liên quan đến kinh doanh</t>
  </si>
  <si>
    <t xml:space="preserve">     Các nghiệp vụ và chức năng liên quan đến chăm sóc khách hàng</t>
  </si>
  <si>
    <t>Nội dung của tracking gồm 6 đầu việc chính như sau:</t>
  </si>
  <si>
    <t>TASK_80</t>
  </si>
  <si>
    <t>TASK_81</t>
  </si>
  <si>
    <t>TASK_82</t>
  </si>
  <si>
    <t>TASK_83</t>
  </si>
  <si>
    <t>Phiếu xuất kho</t>
  </si>
  <si>
    <t>STT</t>
  </si>
  <si>
    <t>Tên Phiếu</t>
  </si>
  <si>
    <t>Module</t>
  </si>
  <si>
    <t>Tên báo cáo</t>
  </si>
  <si>
    <t>Báo cáo kinh doanh (NV gửi TP)</t>
  </si>
  <si>
    <t>Báo cáo thị trường (NV gửi TP)</t>
  </si>
  <si>
    <t>Báo cáo nợ xấu (NV gửi TP)</t>
  </si>
  <si>
    <t>Báo cáo phòng (Phòng gửi BGĐ)</t>
  </si>
  <si>
    <t>Kinh doanh</t>
  </si>
  <si>
    <t>Sổ chi tiết của 1 tài khoản</t>
  </si>
  <si>
    <t>Sổ tổng hợp chữ T của một tài khoản</t>
  </si>
  <si>
    <t>Sổ chi tiết công nợ của 1 khách hàng</t>
  </si>
  <si>
    <t>Sổ chi tiết công nợ theo BPKD</t>
  </si>
  <si>
    <t>Sổ nhật ký chung</t>
  </si>
  <si>
    <t>Kế toán</t>
  </si>
  <si>
    <t>Tổng hợp xuất nhập tồn</t>
  </si>
  <si>
    <t>Kho</t>
  </si>
  <si>
    <t>Phiếu chi</t>
  </si>
  <si>
    <t>Giấy báo có</t>
  </si>
  <si>
    <t>Phiếu xuất điều chuyển kho</t>
  </si>
  <si>
    <t>Phiếu nhập khẩu</t>
  </si>
  <si>
    <t>Thanh lý hợp đồng</t>
  </si>
  <si>
    <t>Phiếu yêu cầu lắp đặt bàn giao</t>
  </si>
  <si>
    <t>Biên bản bàn giao nghiệm thu</t>
  </si>
  <si>
    <t>Phiếu đề nghị xuất giữ</t>
  </si>
  <si>
    <t>Phiếu mượn hàng</t>
  </si>
  <si>
    <t>Phiếu đề nghị xuất hóa đơn</t>
  </si>
  <si>
    <t>Phiếu yêu cầu bảo hành sửa chữa</t>
  </si>
  <si>
    <t>BB giao nhận thiết bị bảo hành sửa chữa</t>
  </si>
  <si>
    <t>BB giao nhận thiết bị sau bảo hành sửa chữa</t>
  </si>
  <si>
    <r>
      <rPr>
        <b/>
        <sz val="12"/>
        <color indexed="8"/>
        <rFont val="Times New Roman"/>
        <family val="1"/>
      </rPr>
      <t>Open:</t>
    </r>
    <r>
      <rPr>
        <sz val="12"/>
        <color indexed="8"/>
        <rFont val="Times New Roman"/>
        <family val="1"/>
      </rPr>
      <t xml:space="preserve"> Những việc chưa code</t>
    </r>
  </si>
  <si>
    <r>
      <rPr>
        <b/>
        <sz val="12"/>
        <color indexed="8"/>
        <rFont val="Times New Roman"/>
        <family val="1"/>
      </rPr>
      <t>Coding:</t>
    </r>
    <r>
      <rPr>
        <sz val="12"/>
        <color indexed="8"/>
        <rFont val="Times New Roman"/>
        <family val="1"/>
      </rPr>
      <t xml:space="preserve"> Đang code</t>
    </r>
  </si>
  <si>
    <r>
      <rPr>
        <b/>
        <sz val="12"/>
        <color indexed="8"/>
        <rFont val="Times New Roman"/>
        <family val="1"/>
      </rPr>
      <t>Testing:</t>
    </r>
    <r>
      <rPr>
        <sz val="12"/>
        <color indexed="8"/>
        <rFont val="Times New Roman"/>
        <family val="1"/>
      </rPr>
      <t xml:space="preserve"> Đang test</t>
    </r>
  </si>
  <si>
    <t>Coding</t>
  </si>
  <si>
    <t>Testing</t>
  </si>
  <si>
    <t>Tin tức</t>
  </si>
  <si>
    <t>Cấu hình SEO</t>
  </si>
  <si>
    <t>Lọc, tìm kiếm</t>
  </si>
  <si>
    <t>Chức năng giỏ hàng</t>
  </si>
  <si>
    <t>Quản lý menu</t>
  </si>
  <si>
    <t>Quản lý, sắp xếp sửa nội dung tất cả các menu có trên website</t>
  </si>
  <si>
    <t>Thêm các menu mới</t>
  </si>
  <si>
    <t xml:space="preserve">Phân cấp menu (không giới hạn) </t>
  </si>
  <si>
    <t>Lựa chọn style menu (mega, text...)</t>
  </si>
  <si>
    <t>Quản lý truy cập</t>
  </si>
  <si>
    <t>Thống kê truy cập theo từ khóa</t>
  </si>
  <si>
    <t>Thống kê truy cập theo nguồn (referal)</t>
  </si>
  <si>
    <t>Thống kê truy cập và lưu nguồn đặt hàng online theo link từng bộ phận</t>
  </si>
  <si>
    <t>Hỗ trợ trực tiếp</t>
  </si>
  <si>
    <t>Số điện thoại liên hệ theo từng Danh mục sản phẩm hoặc phòng Kinh doanh</t>
  </si>
  <si>
    <t>Webchat cho từng danh mục sản phẩm hoặc phòng Kinh doanh</t>
  </si>
  <si>
    <t>TASK_84</t>
  </si>
  <si>
    <t>TASK_85</t>
  </si>
  <si>
    <t>TASK_86</t>
  </si>
  <si>
    <t>TASK_87</t>
  </si>
  <si>
    <t>TASK_90</t>
  </si>
  <si>
    <t>TASK_91</t>
  </si>
  <si>
    <t xml:space="preserve">  Thêm mới, sửa, xóa sản phẩm</t>
  </si>
  <si>
    <t xml:space="preserve">  Quản lý thư viện hình ảnh sản phẩm theo slide</t>
  </si>
  <si>
    <t xml:space="preserve">  Cập nhật thông số sản phẩm bằng file Excel theo các trường thông tin</t>
  </si>
  <si>
    <t xml:space="preserve">  Cho phép lựa chọn thông tin hiển thị đối tương ứng với phân quyền thành viên (VD: Chỉ thành viên mới nhìn được tồn kho sản phẩm...)</t>
  </si>
  <si>
    <t xml:space="preserve">  Tự động nhóm các danh mục khi lựa chọn thông tin (VD: Danh mục Sản phẩm Khuyến mại lựa chọn các sản phẩm có thông tin ở trường "Giá khuyến mại"...)</t>
  </si>
  <si>
    <t xml:space="preserve">  Lựa chọn các phụ kiện hoặc sản phẩm đi kèm (hiển thị các sản phẩm hoặc phụ kiện đi kèm với sản phẩm chính)</t>
  </si>
  <si>
    <t xml:space="preserve">  Thêm/sửa/xóa bài viết giới thiệu sản phẩm</t>
  </si>
  <si>
    <t xml:space="preserve">  Chức năng thêm vào giỏ hàng/báo giá</t>
  </si>
  <si>
    <t xml:space="preserve">  Bình luận/Đánh giá dưới bài viết sản phẩm</t>
  </si>
  <si>
    <t xml:space="preserve">  Tải Catalogue chi tiết của sản phẩm</t>
  </si>
  <si>
    <t xml:space="preserve">  Lọc sản phẩm theo thông số kỹ thuật, chức năng, danh mục</t>
  </si>
  <si>
    <t xml:space="preserve">  Tìm kiếm và gợi ý sản phẩm tìm kiếm</t>
  </si>
  <si>
    <t xml:space="preserve">  Phương pháp lọc: Tích lựa chọn các thông tin</t>
  </si>
  <si>
    <t xml:space="preserve">  Tìm kiếm phụ tùng: Tìm kiếm theo dòng xe, model... và các trường thông tin khác</t>
  </si>
  <si>
    <t>TASK_92</t>
  </si>
  <si>
    <t>TASK_93</t>
  </si>
  <si>
    <t xml:space="preserve">  Hướng dẫn mua hàng</t>
  </si>
  <si>
    <t xml:space="preserve">  Chức năng thanh toán</t>
  </si>
  <si>
    <t xml:space="preserve">  Thêm, sửa, xóa khỏi giỏ hàng</t>
  </si>
  <si>
    <t xml:space="preserve">  Tùy chỉnh tiêu đề website (thẻ title)</t>
  </si>
  <si>
    <t xml:space="preserve">  Tùy chỉnh URL theo ý</t>
  </si>
  <si>
    <t xml:space="preserve">  Tùy chỉnh thẻ meta descirption</t>
  </si>
  <si>
    <t xml:space="preserve">  Tùy chỉnh thẻ meta keyword</t>
  </si>
  <si>
    <t xml:space="preserve">  Cấu hình URL Direct, thẻ seo canonical</t>
  </si>
  <si>
    <t xml:space="preserve">  Thêm các thẻ heading cách linh động</t>
  </si>
  <si>
    <t xml:space="preserve">  Tự động chèn alt cho ảnh, hỗ trợ SEO hình ảnh</t>
  </si>
  <si>
    <t xml:space="preserve">  Công cụ đo SEO onpage cho bài viết</t>
  </si>
  <si>
    <t>TASK_94</t>
  </si>
  <si>
    <t>TASK_95</t>
  </si>
  <si>
    <t>TASK_96</t>
  </si>
  <si>
    <t>TASK_97</t>
  </si>
  <si>
    <t>TASK_98</t>
  </si>
  <si>
    <t>TASK_99</t>
  </si>
  <si>
    <t>TASK_100</t>
  </si>
  <si>
    <t>TASK_101</t>
  </si>
  <si>
    <t>TASK_102</t>
  </si>
  <si>
    <t>TASK_103</t>
  </si>
  <si>
    <t>TASK_104</t>
  </si>
  <si>
    <t>TASK_105</t>
  </si>
  <si>
    <t>TASK_106</t>
  </si>
  <si>
    <t>TASK_107</t>
  </si>
  <si>
    <t>TASK_108</t>
  </si>
  <si>
    <t>TASK_109</t>
  </si>
  <si>
    <t>TASK_110</t>
  </si>
  <si>
    <t>TASK_111</t>
  </si>
  <si>
    <t>TASK_112</t>
  </si>
  <si>
    <t>TASK_113</t>
  </si>
  <si>
    <t>Mô tả</t>
  </si>
  <si>
    <t>Nhân viên kinh doanh lập hợp đồng để đi đến ký kết hợp đồng với khách hàng</t>
  </si>
  <si>
    <t>Nhân viên kinh doanh lập báo giá gửi khách hàng</t>
  </si>
  <si>
    <t>Sử dụng sau khi hoàn thành hợp đồng</t>
  </si>
  <si>
    <t>Dùng cho thủ quỹ (Kế toán tiền mặt) để phản ánh tình hình thu, chi, tồn quỹ tiền mặt bằng Việt Nam đồng</t>
  </si>
  <si>
    <t>Để theo dõi công nợ phải thu của khách hàng, công nợ phải trả nhà cung cấp, được nhóm theo bộ phận kinh doanh (Chỉ có của các tài khoản công nợ)</t>
  </si>
  <si>
    <t>Để theo dõi công nợ phải thu của khách hàng, công nợ phải trả nhà cung cấp, theo từng khách hàng/nhà cung cấp (Chỉ có của các tài khoản công nợ)</t>
  </si>
  <si>
    <t>Để theo dõi số dư công nợ của khách hàng/nhà cung cấp tại 1 thời điểm</t>
  </si>
  <si>
    <t>Để ghi chép lại các phát sinh (nợ/có) của 1 tài khoản</t>
  </si>
  <si>
    <t>Để xác định số tiền được nhập quỹ. Dùng để thu tiền của khách hàng, thu khác...</t>
  </si>
  <si>
    <t>Để xác định số tiền xuất quỹ. Dùng để chi trả nhà cung cấp, chi lương, chi tạm ứng, chi khác...</t>
  </si>
  <si>
    <t>Khi mình chuyển tiền đi thì Ngân hàng gửi cho mình giấy báo nợ</t>
  </si>
  <si>
    <t>Khi có tiền về tài khoản thì Ngân hàng gửi cho mình giấy báo có</t>
  </si>
  <si>
    <t>Để hạch toán những nghiệp vụ kế toán không có chứng từ đi kèm</t>
  </si>
  <si>
    <t>Khi phát sinh nhập hàng không liên quan đến công nợ</t>
  </si>
  <si>
    <t>Khi phát sinh xuất hàng không liên quan đến doanh thu</t>
  </si>
  <si>
    <t>Khi điều chuyển hàng hóa giữa kho này sang kho khác</t>
  </si>
  <si>
    <t>Khi phát sinh nhập hàng có liên quan đến công nợ nhà cung cấp</t>
  </si>
  <si>
    <t>Khi nhập khẩu hàng</t>
  </si>
  <si>
    <t>Khi phát sinh nhu cầu trả hàng lại nhà cung cấp</t>
  </si>
  <si>
    <t>Khi phát sinh chi phí khi mua hàng</t>
  </si>
  <si>
    <t>Khi NVKD có nhu cầu giữ hàng cho khách</t>
  </si>
  <si>
    <t>Khi có nhu cầu mượn hàng của kho</t>
  </si>
  <si>
    <t>Khi có nhu cầu cần kế toán xuất hóa đơn</t>
  </si>
  <si>
    <t>Dùng để yêu cầu thực hiện lắp đặt, bàn giao sản phẩm cho khách (Yêu cầu bộ phận lắp đặt)</t>
  </si>
  <si>
    <t>Chứng từ bàn giao, nghiệm thu với khách hàng sau khi hoàn thành lắp đặt, bàn giao sản phẩm</t>
  </si>
  <si>
    <t>Để gửi yêu cầu bảo hành, sửa chữa sản phẩm cho khách hàng (Gửi tới bộ phận bảo hành)</t>
  </si>
  <si>
    <t>Để lưu lại thông tin tình trạng sản phẩm trước khi thực hiện bảo hành, sửa chữa</t>
  </si>
  <si>
    <t>Để lưu lại thông tin, bàn giao lại sản phẩm cho khách hàng sau khi thực hiện bảo hành, sửa chữa</t>
  </si>
  <si>
    <t>Thống kê danh sách khách hàng có công nợ quá hạn, khó đòi</t>
  </si>
  <si>
    <t>Để ghi chép lại các phát sinh (nợ/có) của 1 tài khoản theo sơ đồ chữ T</t>
  </si>
  <si>
    <t>Thiết kế database hệ thống</t>
  </si>
  <si>
    <t>Tìm hiểu quy trình của các nghiệp vụ. Liên biểu đồ luồng hoạt động, 
và tài liệu mô tả. Thu thập các chứng từ liên quan đến nghiệp vụ.</t>
  </si>
  <si>
    <t>Quản lý xuất - nhập</t>
  </si>
  <si>
    <t xml:space="preserve">  Phiếu nhập kho trả lại</t>
  </si>
  <si>
    <t xml:space="preserve">  Phiếu xuất kho trả lại NCC</t>
  </si>
  <si>
    <t xml:space="preserve">    Phiếu điều chuyển kho</t>
  </si>
  <si>
    <t xml:space="preserve">  Phiếu nhập kho</t>
  </si>
  <si>
    <t xml:space="preserve">  Báo cáo kho</t>
  </si>
  <si>
    <t xml:space="preserve">  Thẻ kho</t>
  </si>
  <si>
    <t xml:space="preserve">    Tổng hợp xuất nhập tồn</t>
  </si>
  <si>
    <t>Quản lý hàng hóa</t>
  </si>
  <si>
    <t xml:space="preserve">  Kiểm kê</t>
  </si>
  <si>
    <t xml:space="preserve">  Báo cáo tồn kho</t>
  </si>
  <si>
    <t xml:space="preserve">    Báo cáo hàng tồn lâu</t>
  </si>
  <si>
    <t>Chăm sóc khách hàng</t>
  </si>
  <si>
    <t>Báo cáo - Thống kê</t>
  </si>
  <si>
    <t xml:space="preserve">  Danh sách khách hàng</t>
  </si>
  <si>
    <t xml:space="preserve">  Lịch bảo hành, bảo trì</t>
  </si>
  <si>
    <t>Danh mục</t>
  </si>
  <si>
    <t>Hàng hóa</t>
  </si>
  <si>
    <t>Danh sách hàng hóa</t>
  </si>
  <si>
    <t>Danh sách hàng tạm</t>
  </si>
  <si>
    <t>Nhóm hàng hóa</t>
  </si>
  <si>
    <t>Thương hiệu</t>
  </si>
  <si>
    <t>Xuất xứ</t>
  </si>
  <si>
    <t>Hãng sản xuất</t>
  </si>
  <si>
    <t>Đơn vị</t>
  </si>
  <si>
    <t>Thuộc tính</t>
  </si>
  <si>
    <t>Đơn vị thuộc tính</t>
  </si>
  <si>
    <t>Địa chỉ</t>
  </si>
  <si>
    <t>Danh mục quốc gia</t>
  </si>
  <si>
    <t>Danh mục Tỉnh/TP</t>
  </si>
  <si>
    <t>Danh mục Quận/Huyện</t>
  </si>
  <si>
    <t>Danh mục Phường/Xã</t>
  </si>
  <si>
    <t>Danh mục Đường phố/Thôn</t>
  </si>
  <si>
    <t>Nhân sự</t>
  </si>
  <si>
    <t>Danh mục phòng ban</t>
  </si>
  <si>
    <t>Danh mục bộ phận</t>
  </si>
  <si>
    <t>Danh mục tổ</t>
  </si>
  <si>
    <t>Danh mục nhân viên</t>
  </si>
  <si>
    <t>Danh mục chuyên ngành</t>
  </si>
  <si>
    <t>Danh mục chức vụ</t>
  </si>
  <si>
    <t>Khách hàng - NCC</t>
  </si>
  <si>
    <t>Danh mục nhóm NCC</t>
  </si>
  <si>
    <t>Danh mục khách hàng</t>
  </si>
  <si>
    <t>Danh mục nhà cung cấp</t>
  </si>
  <si>
    <t>Danh mục mã phí</t>
  </si>
  <si>
    <t>Báo cáo - kế hoạch</t>
  </si>
  <si>
    <t>Chứng từ</t>
  </si>
  <si>
    <t>Báo cáo kinh doanh</t>
  </si>
  <si>
    <t>Báo cáo thị trường</t>
  </si>
  <si>
    <t>Báo cáo nợ xấu</t>
  </si>
  <si>
    <t>Báo cáo phòng</t>
  </si>
  <si>
    <t>Danh sách khách hàng</t>
  </si>
  <si>
    <t>Công nợ khách hàng</t>
  </si>
  <si>
    <t>Kế hoạch kinh doanh</t>
  </si>
  <si>
    <t>Phiếu yêu cầu lắp đặt, bàn giao</t>
  </si>
  <si>
    <t>Biên bản bàn giao, nghiệm thu</t>
  </si>
  <si>
    <t>Phiếu đề nghị xuất kho</t>
  </si>
  <si>
    <t>Phiếu đề nghị nhập kho trả lại</t>
  </si>
  <si>
    <t>QUẢN LÝ TÀI KHOẢN</t>
  </si>
  <si>
    <t>CẤU HÌNH</t>
  </si>
  <si>
    <t>Nhập kho</t>
  </si>
  <si>
    <t>Phiếu nhập kho trả lại</t>
  </si>
  <si>
    <t>Xuất kho</t>
  </si>
  <si>
    <t>Phiếu xuất kho trả lại nhà cung cấp</t>
  </si>
  <si>
    <t>Phiếu điều chuyển kho</t>
  </si>
  <si>
    <t>Báo cáo</t>
  </si>
  <si>
    <t>Kiểm kê</t>
  </si>
  <si>
    <t>Báo cáo hàng tồn lâu</t>
  </si>
  <si>
    <t>Biểu đồ biến động hàng hóa</t>
  </si>
  <si>
    <t>Quản lý giá</t>
  </si>
  <si>
    <t>Giá nhập</t>
  </si>
  <si>
    <t>Giá bán</t>
  </si>
  <si>
    <t>Quản lý quỹ</t>
  </si>
  <si>
    <t>Phiếu tạm ứng</t>
  </si>
  <si>
    <t>Phiếu nhập hàng bán bị trả lại</t>
  </si>
  <si>
    <t>Bán hàng</t>
  </si>
  <si>
    <t>Phiếu xuất hàng</t>
  </si>
  <si>
    <t>Phiếu xuất trả lại NCC</t>
  </si>
  <si>
    <t>Qũy</t>
  </si>
  <si>
    <t>Công nợ</t>
  </si>
  <si>
    <t>Sổ sách kế toán</t>
  </si>
  <si>
    <t>Sổ chi tiết của một tài khoản</t>
  </si>
  <si>
    <t>Bảng điều khiển</t>
  </si>
  <si>
    <t>Chat</t>
  </si>
  <si>
    <t>Lịch sửa chat</t>
  </si>
  <si>
    <t>Tin nhắn chat</t>
  </si>
  <si>
    <t>Khách hàng</t>
  </si>
  <si>
    <t>Nhóm khách hàng</t>
  </si>
  <si>
    <t>Khách hàng liên hệ</t>
  </si>
  <si>
    <t>Đăng ký bản tin</t>
  </si>
  <si>
    <t>Bình luận</t>
  </si>
  <si>
    <t>Đơn hàng</t>
  </si>
  <si>
    <t>Sản phẩm</t>
  </si>
  <si>
    <t>Nhóm sản phẩm</t>
  </si>
  <si>
    <t>Đơn vị tính</t>
  </si>
  <si>
    <t>Đơn vị thông số</t>
  </si>
  <si>
    <t>Bộ lọc</t>
  </si>
  <si>
    <t>Chính sách giá sản phẩm</t>
  </si>
  <si>
    <t>Chính sách giá đơn hàng</t>
  </si>
  <si>
    <t>CMS</t>
  </si>
  <si>
    <t>Danh mục tin</t>
  </si>
  <si>
    <t>Danh mục video</t>
  </si>
  <si>
    <t>Video</t>
  </si>
  <si>
    <t>Danh mục ảnh</t>
  </si>
  <si>
    <t>Thư viện ảnh</t>
  </si>
  <si>
    <t>Dự án</t>
  </si>
  <si>
    <t>Danh mục dự án</t>
  </si>
  <si>
    <t>Hình ảnh</t>
  </si>
  <si>
    <t>Báo cáo - Kế hoạch</t>
  </si>
  <si>
    <t xml:space="preserve">     Báo cáo kinh doanh</t>
  </si>
  <si>
    <t xml:space="preserve">    Báo cáo nợ xấu</t>
  </si>
  <si>
    <t>Dùng để lập yêu cầu bảo hành sản phẩm cho khách hàng</t>
  </si>
  <si>
    <t>Dùng để lập kế hoạch kinh doanh</t>
  </si>
  <si>
    <t>Dùng để đề nghị kế toán lập Phiếu nhập kho trả lại</t>
  </si>
  <si>
    <t>Dùng để đề nghị kế toán lập phiếu xuất kho</t>
  </si>
  <si>
    <t>Dùng để đề nghị kế toán xuất hóa đơn</t>
  </si>
  <si>
    <t>Biên bản giao nhận thiết bị</t>
  </si>
  <si>
    <t>Giao nhận thiết bị cho khách hàng</t>
  </si>
  <si>
    <t>Biên bản giao - nhận thiết bị</t>
  </si>
  <si>
    <t>Quản lý tài khoản người dùng</t>
  </si>
  <si>
    <t>Hàng tạm của tôi</t>
  </si>
  <si>
    <t xml:space="preserve">  Danh sách báo giá</t>
  </si>
  <si>
    <t xml:space="preserve">  Danh sách báo giá của phòng</t>
  </si>
  <si>
    <t xml:space="preserve">    Doanh thu theo nhân viên</t>
  </si>
  <si>
    <t xml:space="preserve">    Doanh thu theo khách hàng</t>
  </si>
  <si>
    <t xml:space="preserve">  Tạo báo giá</t>
  </si>
  <si>
    <t>Cập nhật nhanh giá hàng hóa</t>
  </si>
  <si>
    <t>Cập nhật tài khoản</t>
  </si>
  <si>
    <t>Danh mục công ty</t>
  </si>
  <si>
    <t>Danh mục nhà kho</t>
  </si>
  <si>
    <t>Danh mục dãy</t>
  </si>
  <si>
    <t>Danh mục khoang</t>
  </si>
  <si>
    <t>Danh mục tầng</t>
  </si>
  <si>
    <t>Phiếu yêu cầu xuất giữ</t>
  </si>
  <si>
    <t>Phiếu yêu cầu xuất hàng</t>
  </si>
  <si>
    <t>Phân loại</t>
  </si>
  <si>
    <t>Model</t>
  </si>
  <si>
    <t>Lĩnh vực</t>
  </si>
  <si>
    <t>Chương</t>
  </si>
  <si>
    <t>Nhóm công việc</t>
  </si>
  <si>
    <t>Cụm công việc</t>
  </si>
  <si>
    <t>Nguồn gốc</t>
  </si>
  <si>
    <t>Code đặt hàng</t>
  </si>
  <si>
    <t>Danh sách người dùng</t>
  </si>
  <si>
    <t>Tên CV</t>
  </si>
  <si>
    <t>Quản lý tài nguyên (code, database..)</t>
  </si>
  <si>
    <t>Thu thập tài liệu cho dự án</t>
  </si>
  <si>
    <t>Viết tài liệu cho dự án (hướng dẫn, SRS…</t>
  </si>
  <si>
    <t>Làm sơ đồ luồng các phân hệ phần mềm</t>
  </si>
  <si>
    <t>Test luồng, fixbug..</t>
  </si>
  <si>
    <t>Bảo trì phần View</t>
  </si>
  <si>
    <t>Hỗ trợ, đào tạo nội bộ</t>
  </si>
  <si>
    <t>NHẬP LIỆU</t>
  </si>
  <si>
    <t>BÁO CÁO</t>
  </si>
  <si>
    <t>Lên sơ đồ framework (laravel)</t>
  </si>
  <si>
    <t>sơ đồ request-respond</t>
  </si>
  <si>
    <t>Bắt tay code</t>
  </si>
  <si>
    <t>Thiết kế mô hình request respond theo kiểu laravel</t>
  </si>
  <si>
    <t>Viết tài liệu</t>
  </si>
  <si>
    <t>CHỨC NĂNG TÀI KHOẢN</t>
  </si>
  <si>
    <t>Xây dựng chức năng đăng xuất, đăng nhập</t>
  </si>
  <si>
    <t>Phân quyền theo nhóm (tài khoan--nhóm--modul)</t>
  </si>
  <si>
    <t>tạo modul từ danh mục, (kinh doanh, quản trị..) phân quyền cho group và user</t>
  </si>
  <si>
    <t>CHỨC NĂNG CẤU HÌNH HỆ THỐNG</t>
  </si>
  <si>
    <t>Thiết lập logo, tên công ty, điện thoại, slogan…</t>
  </si>
  <si>
    <t>Thiết lập số trang trên phân trang, dung lượng ảnh upload..</t>
  </si>
  <si>
    <t>Thiết lập tài khoản mạng xã hội, của hàng…</t>
  </si>
  <si>
    <t>DANH MỤC XE, HÃNG XE</t>
  </si>
  <si>
    <t>Hãng xe (toyota, honda..)</t>
  </si>
  <si>
    <t>Dòng xe (hackback, sedan..)</t>
  </si>
  <si>
    <t>Model xe (Morning, vios..)</t>
  </si>
  <si>
    <t>Đời xe (năm sản xuất)</t>
  </si>
  <si>
    <t>Nhiên liệu (động cơ xe)</t>
  </si>
  <si>
    <t>Màu xe</t>
  </si>
  <si>
    <t>DANH MỤC HÀNG HÓA</t>
  </si>
  <si>
    <t>DANH MỤC QUỐC GIA</t>
  </si>
  <si>
    <t>DANH MỤC KHO HÀNG, NHÀ CUNG CẤP</t>
  </si>
  <si>
    <t>Danh mục nhà CC</t>
  </si>
  <si>
    <t>PHÂN HỆ MUA HÀNG</t>
  </si>
  <si>
    <t>Phiếu mua hàng</t>
  </si>
  <si>
    <t>Trả hàng NCC (6 kiểu trà hàng)</t>
  </si>
  <si>
    <t>( các trạng thái báo giá, không cần làm hợp đồng)</t>
  </si>
  <si>
    <t>Quản lý sản phẩm (bán thiết bị gara ô tô)</t>
  </si>
  <si>
    <t>Quản lý phụ tùng (bán phụ tùng ô tô)</t>
  </si>
  <si>
    <t>tạo phụ tùng (phụ tùng theo xe)</t>
  </si>
  <si>
    <t>Chọn xe sẽ lọc ra các phụ tùng</t>
  </si>
  <si>
    <t>TỔNG THỂ CHIA 2 PHẦN: DÙNG CHO GARA VÀ WEBSITE BÁN HÀNG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</si>
</sst>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
    <numFmt numFmtId="165" formatCode="[$-13809]dd/mm/yyyy;@"/>
  </numFmts>
  <fonts count="34" x14ac:knownFonts="1">
    <font>
      <sz val="10"/>
      <color theme="1"/>
      <name val="Calibri"/>
      <family val="2"/>
      <scheme val="minor"/>
    </font>
    <font>
      <b/>
      <sz val="12"/>
      <color indexed="8"/>
      <name val="Times New Roman"/>
      <family val="1"/>
    </font>
    <font>
      <sz val="12"/>
      <color indexed="8"/>
      <name val="Times New Roman"/>
      <family val="1"/>
    </font>
    <font>
      <sz val="12"/>
      <name val="Times New Roman"/>
      <family val="1"/>
    </font>
    <font>
      <sz val="14"/>
      <name val="Times New Roman"/>
      <family val="1"/>
    </font>
    <font>
      <u/>
      <sz val="14"/>
      <name val="Times New Roman"/>
      <family val="1"/>
    </font>
    <font>
      <u/>
      <sz val="12"/>
      <color theme="11"/>
      <name val="Calibri"/>
      <family val="2"/>
      <scheme val="minor"/>
    </font>
    <font>
      <sz val="16"/>
      <color theme="3" tint="-0.24994659260841701"/>
      <name val="Calibri"/>
      <family val="2"/>
      <scheme val="major"/>
    </font>
    <font>
      <sz val="12"/>
      <color theme="3"/>
      <name val="Calibri"/>
      <family val="2"/>
      <scheme val="major"/>
    </font>
    <font>
      <sz val="12"/>
      <color theme="1" tint="0.14993743705557422"/>
      <name val="Calibri"/>
      <family val="2"/>
      <scheme val="minor"/>
    </font>
    <font>
      <u/>
      <sz val="12"/>
      <color theme="10"/>
      <name val="Calibri"/>
      <family val="2"/>
      <scheme val="minor"/>
    </font>
    <font>
      <b/>
      <sz val="14"/>
      <color theme="0"/>
      <name val="Calibri"/>
      <family val="2"/>
      <scheme val="major"/>
    </font>
    <font>
      <sz val="11"/>
      <color theme="1" tint="0.34998626667073579"/>
      <name val="Calibri"/>
      <family val="2"/>
      <scheme val="minor"/>
    </font>
    <font>
      <sz val="18"/>
      <color theme="3"/>
      <name val="Calibri"/>
      <family val="2"/>
      <scheme val="major"/>
    </font>
    <font>
      <sz val="12"/>
      <color theme="1"/>
      <name val="Calibri"/>
      <family val="2"/>
      <scheme val="minor"/>
    </font>
    <font>
      <sz val="10"/>
      <color theme="1"/>
      <name val="Times New Roman"/>
      <family val="1"/>
    </font>
    <font>
      <sz val="12"/>
      <color theme="1"/>
      <name val="Times New Roman"/>
      <family val="1"/>
    </font>
    <font>
      <sz val="16"/>
      <color theme="1"/>
      <name val="Times New Roman"/>
      <family val="1"/>
    </font>
    <font>
      <sz val="16"/>
      <color theme="3" tint="-0.24994659260841701"/>
      <name val="Times New Roman"/>
      <family val="1"/>
    </font>
    <font>
      <sz val="12"/>
      <color theme="1" tint="0.14993743705557422"/>
      <name val="Times New Roman"/>
      <family val="1"/>
    </font>
    <font>
      <i/>
      <sz val="16"/>
      <color theme="0"/>
      <name val="Times New Roman"/>
      <family val="1"/>
    </font>
    <font>
      <u/>
      <sz val="10"/>
      <color theme="1"/>
      <name val="Times New Roman"/>
      <family val="1"/>
    </font>
    <font>
      <b/>
      <sz val="12"/>
      <color theme="1"/>
      <name val="Times New Roman"/>
      <family val="1"/>
    </font>
    <font>
      <b/>
      <sz val="12"/>
      <color theme="3"/>
      <name val="Times New Roman"/>
      <family val="1"/>
    </font>
    <font>
      <sz val="12"/>
      <color rgb="FFFF0000"/>
      <name val="Times New Roman"/>
      <family val="1"/>
    </font>
    <font>
      <sz val="12"/>
      <color theme="8"/>
      <name val="Times New Roman"/>
      <family val="1"/>
    </font>
    <font>
      <sz val="12"/>
      <color theme="0"/>
      <name val="Times New Roman"/>
      <family val="1"/>
    </font>
    <font>
      <b/>
      <sz val="12"/>
      <color theme="0"/>
      <name val="Times New Roman"/>
      <family val="1"/>
    </font>
    <font>
      <sz val="12"/>
      <color theme="7"/>
      <name val="Times New Roman"/>
      <family val="1"/>
    </font>
    <font>
      <sz val="12"/>
      <color theme="1"/>
      <name val="Times New Roman"/>
    </font>
    <font>
      <sz val="18"/>
      <color theme="1"/>
      <name val="Times New Roman"/>
      <family val="1"/>
    </font>
    <font>
      <sz val="13"/>
      <color theme="1" tint="0.34998626667073579"/>
      <name val="Times New Roman"/>
      <family val="1"/>
    </font>
    <font>
      <sz val="12"/>
      <color theme="10"/>
      <name val="Times New Roman"/>
      <family val="1"/>
    </font>
    <font>
      <u/>
      <sz val="12"/>
      <color theme="10"/>
      <name val="Times New Roman"/>
      <family val="1"/>
    </font>
  </fonts>
  <fills count="15">
    <fill>
      <patternFill patternType="none"/>
    </fill>
    <fill>
      <patternFill patternType="gray125"/>
    </fill>
    <fill>
      <patternFill patternType="solid">
        <fgColor theme="4" tint="-0.24994659260841701"/>
        <bgColor indexed="64"/>
      </patternFill>
    </fill>
    <fill>
      <patternFill patternType="solid">
        <fgColor theme="0"/>
        <bgColor indexed="64"/>
      </patternFill>
    </fill>
    <fill>
      <patternFill patternType="solid">
        <fgColor theme="0" tint="-0.499984740745262"/>
        <bgColor indexed="64"/>
      </patternFill>
    </fill>
    <fill>
      <patternFill patternType="solid">
        <fgColor rgb="FF92D05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5"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theme="0"/>
      </left>
      <right/>
      <top/>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style="thin">
        <color rgb="FF92D050"/>
      </left>
      <right/>
      <top/>
      <bottom/>
      <diagonal/>
    </border>
    <border>
      <left/>
      <right style="thin">
        <color rgb="FF92D050"/>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top/>
      <bottom style="thin">
        <color theme="8"/>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style="thin">
        <color rgb="FF92D050"/>
      </left>
      <right style="thin">
        <color rgb="FF92D050"/>
      </right>
      <top style="thin">
        <color rgb="FF92D050"/>
      </top>
      <bottom/>
      <diagonal/>
    </border>
    <border>
      <left style="thin">
        <color theme="1" tint="0.249977111117893"/>
      </left>
      <right style="thin">
        <color theme="1" tint="0.249977111117893"/>
      </right>
      <top style="thin">
        <color theme="1" tint="0.249977111117893"/>
      </top>
      <bottom/>
      <diagonal/>
    </border>
    <border>
      <left/>
      <right/>
      <top style="thin">
        <color theme="0" tint="-0.14999847407452621"/>
      </top>
      <bottom style="thin">
        <color theme="0" tint="-0.14999847407452621"/>
      </bottom>
      <diagonal/>
    </border>
    <border>
      <left/>
      <right style="thin">
        <color rgb="FF92D050"/>
      </right>
      <top style="thin">
        <color rgb="FF92D050"/>
      </top>
      <bottom/>
      <diagonal/>
    </border>
    <border>
      <left/>
      <right style="thin">
        <color rgb="FF92D050"/>
      </right>
      <top/>
      <bottom style="thin">
        <color rgb="FF92D050"/>
      </bottom>
      <diagonal/>
    </border>
    <border>
      <left style="thin">
        <color rgb="FF92D050"/>
      </left>
      <right/>
      <top style="thin">
        <color rgb="FF92D050"/>
      </top>
      <bottom/>
      <diagonal/>
    </border>
    <border>
      <left style="thin">
        <color indexed="64"/>
      </left>
      <right/>
      <top style="thin">
        <color theme="1" tint="0.249977111117893"/>
      </top>
      <bottom style="thin">
        <color theme="1" tint="0.249977111117893"/>
      </bottom>
      <diagonal/>
    </border>
    <border>
      <left style="thin">
        <color theme="1" tint="0.249977111117893"/>
      </left>
      <right style="thin">
        <color theme="1" tint="0.249977111117893"/>
      </right>
      <top/>
      <bottom style="thin">
        <color theme="1" tint="0.249977111117893"/>
      </bottom>
      <diagonal/>
    </border>
  </borders>
  <cellStyleXfs count="9">
    <xf numFmtId="0" fontId="0" fillId="0" borderId="0">
      <alignment vertical="center"/>
    </xf>
    <xf numFmtId="0" fontId="6"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2" borderId="6">
      <alignment horizontal="center" vertical="center"/>
    </xf>
    <xf numFmtId="0" fontId="12" fillId="3" borderId="0">
      <alignment horizontal="left" vertical="center" wrapText="1" indent="2"/>
    </xf>
    <xf numFmtId="0" fontId="13" fillId="0" borderId="0" applyNumberFormat="0" applyFill="0" applyBorder="0" applyAlignment="0" applyProtection="0"/>
  </cellStyleXfs>
  <cellXfs count="221">
    <xf numFmtId="0" fontId="0" fillId="0" borderId="0" xfId="0">
      <alignment vertical="center"/>
    </xf>
    <xf numFmtId="0" fontId="0" fillId="3" borderId="7" xfId="0" applyFill="1" applyBorder="1" applyAlignment="1">
      <alignment vertical="center"/>
    </xf>
    <xf numFmtId="0" fontId="0" fillId="0" borderId="7" xfId="0" applyBorder="1">
      <alignment vertical="center"/>
    </xf>
    <xf numFmtId="0" fontId="0" fillId="4" borderId="7" xfId="0" applyFill="1" applyBorder="1" applyAlignment="1">
      <alignment vertical="center"/>
    </xf>
    <xf numFmtId="0" fontId="14" fillId="5" borderId="0" xfId="0" applyFont="1" applyFill="1">
      <alignment vertical="center"/>
    </xf>
    <xf numFmtId="0" fontId="0" fillId="0" borderId="0" xfId="0" applyAlignment="1">
      <alignment horizontal="left" vertical="center" indent="2"/>
    </xf>
    <xf numFmtId="0" fontId="15" fillId="3" borderId="0" xfId="0" applyFont="1" applyFill="1">
      <alignment vertical="center"/>
    </xf>
    <xf numFmtId="0" fontId="16" fillId="3" borderId="8" xfId="0" applyFont="1" applyFill="1" applyBorder="1" applyAlignment="1">
      <alignment vertical="center"/>
    </xf>
    <xf numFmtId="0" fontId="17" fillId="3" borderId="9" xfId="0" applyFont="1" applyFill="1" applyBorder="1">
      <alignment vertical="center"/>
    </xf>
    <xf numFmtId="0" fontId="17" fillId="3" borderId="10" xfId="0" applyFont="1" applyFill="1" applyBorder="1">
      <alignment vertical="center"/>
    </xf>
    <xf numFmtId="0" fontId="18" fillId="3" borderId="9" xfId="2" quotePrefix="1" applyFont="1" applyFill="1" applyBorder="1" applyAlignment="1"/>
    <xf numFmtId="0" fontId="18" fillId="3" borderId="10" xfId="2" applyFont="1" applyFill="1" applyBorder="1" applyAlignment="1"/>
    <xf numFmtId="0" fontId="19" fillId="3" borderId="9" xfId="4" applyFont="1" applyFill="1" applyBorder="1" applyAlignment="1">
      <alignment vertical="center" wrapText="1"/>
    </xf>
    <xf numFmtId="0" fontId="19" fillId="3" borderId="10" xfId="4" applyFont="1" applyFill="1" applyBorder="1" applyAlignment="1">
      <alignment vertical="center" wrapText="1"/>
    </xf>
    <xf numFmtId="0" fontId="18" fillId="3" borderId="10" xfId="2" quotePrefix="1" applyFont="1" applyFill="1" applyBorder="1" applyAlignment="1"/>
    <xf numFmtId="0" fontId="18" fillId="3" borderId="9" xfId="2" quotePrefix="1" applyFont="1" applyFill="1" applyBorder="1" applyAlignment="1">
      <alignment vertical="center"/>
    </xf>
    <xf numFmtId="0" fontId="18" fillId="3" borderId="10" xfId="2" applyFont="1" applyFill="1" applyBorder="1" applyAlignment="1">
      <alignment vertical="center"/>
    </xf>
    <xf numFmtId="0" fontId="15" fillId="3" borderId="0" xfId="0" applyFont="1" applyFill="1" applyBorder="1" applyAlignment="1">
      <alignment vertical="center"/>
    </xf>
    <xf numFmtId="0" fontId="15" fillId="3" borderId="0" xfId="0" applyFont="1" applyFill="1" applyAlignment="1">
      <alignment vertical="center"/>
    </xf>
    <xf numFmtId="0" fontId="20" fillId="6" borderId="0" xfId="2" applyFont="1" applyFill="1" applyAlignment="1">
      <alignment vertical="center"/>
    </xf>
    <xf numFmtId="0" fontId="18" fillId="3" borderId="0" xfId="2" applyFont="1" applyFill="1" applyAlignment="1">
      <alignment vertical="center"/>
    </xf>
    <xf numFmtId="0" fontId="21" fillId="3" borderId="0" xfId="0" applyFont="1" applyFill="1">
      <alignment vertical="center"/>
    </xf>
    <xf numFmtId="0" fontId="4" fillId="3" borderId="0" xfId="2" quotePrefix="1" applyFont="1" applyFill="1" applyAlignment="1">
      <alignment vertical="center"/>
    </xf>
    <xf numFmtId="0" fontId="4" fillId="3" borderId="0" xfId="2" applyFont="1" applyFill="1" applyAlignment="1">
      <alignment vertical="center"/>
    </xf>
    <xf numFmtId="0" fontId="4" fillId="3" borderId="0" xfId="0" quotePrefix="1" applyFont="1" applyFill="1">
      <alignment vertical="center"/>
    </xf>
    <xf numFmtId="0" fontId="4" fillId="3" borderId="0" xfId="0" applyFont="1" applyFill="1">
      <alignment vertical="center"/>
    </xf>
    <xf numFmtId="0" fontId="16" fillId="3" borderId="0" xfId="0" applyFont="1" applyFill="1" applyBorder="1" applyAlignment="1">
      <alignment vertical="center"/>
    </xf>
    <xf numFmtId="0" fontId="16" fillId="0" borderId="0" xfId="0" applyFont="1">
      <alignment vertical="center"/>
    </xf>
    <xf numFmtId="0" fontId="22" fillId="0" borderId="0" xfId="0" applyFont="1" applyAlignment="1">
      <alignment horizontal="center" vertical="center"/>
    </xf>
    <xf numFmtId="0" fontId="22" fillId="0" borderId="1" xfId="0" applyFont="1" applyBorder="1" applyAlignment="1">
      <alignment horizontal="center" vertical="center"/>
    </xf>
    <xf numFmtId="0" fontId="16" fillId="0" borderId="1" xfId="0" applyFont="1" applyBorder="1">
      <alignment vertical="center"/>
    </xf>
    <xf numFmtId="0" fontId="16" fillId="0" borderId="1"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7" borderId="1" xfId="0" applyFont="1" applyFill="1" applyBorder="1" applyAlignment="1">
      <alignment horizontal="center" vertical="center"/>
    </xf>
    <xf numFmtId="0" fontId="16" fillId="7" borderId="1" xfId="0" applyFont="1" applyFill="1" applyBorder="1">
      <alignment vertical="center"/>
    </xf>
    <xf numFmtId="0" fontId="16" fillId="0" borderId="1" xfId="0" applyFont="1" applyBorder="1" applyAlignment="1"/>
    <xf numFmtId="0" fontId="16" fillId="0" borderId="0" xfId="0" applyFont="1" applyBorder="1" applyAlignment="1">
      <alignment horizontal="center" vertical="center"/>
    </xf>
    <xf numFmtId="0" fontId="16" fillId="0" borderId="2" xfId="0" applyFont="1" applyBorder="1" applyAlignment="1">
      <alignment horizontal="center" vertical="center"/>
    </xf>
    <xf numFmtId="0" fontId="16" fillId="7" borderId="0" xfId="0" applyFont="1" applyFill="1">
      <alignment vertical="center"/>
    </xf>
    <xf numFmtId="0" fontId="16" fillId="0" borderId="3" xfId="0" applyFont="1" applyBorder="1" applyAlignment="1"/>
    <xf numFmtId="0" fontId="16" fillId="7" borderId="1" xfId="0" applyFont="1" applyFill="1" applyBorder="1" applyAlignment="1"/>
    <xf numFmtId="0" fontId="16" fillId="8" borderId="0" xfId="0" applyFont="1" applyFill="1" applyBorder="1" applyAlignment="1">
      <alignment horizontal="center" vertical="center"/>
    </xf>
    <xf numFmtId="0" fontId="2" fillId="3" borderId="8" xfId="0" applyFont="1" applyFill="1" applyBorder="1" applyAlignment="1">
      <alignment vertical="center"/>
    </xf>
    <xf numFmtId="0" fontId="23" fillId="3" borderId="0" xfId="3" applyFont="1" applyFill="1" applyAlignment="1">
      <alignment vertical="center"/>
    </xf>
    <xf numFmtId="0" fontId="23" fillId="3" borderId="0" xfId="0" applyFont="1" applyFill="1" applyBorder="1" applyAlignment="1">
      <alignment horizontal="left" vertical="center"/>
    </xf>
    <xf numFmtId="0" fontId="16"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horizontal="left" vertical="center" wrapText="1"/>
      <protection locked="0"/>
    </xf>
    <xf numFmtId="0" fontId="16" fillId="0" borderId="0" xfId="0" applyFont="1" applyBorder="1" applyAlignment="1">
      <alignment horizontal="left" vertical="center"/>
    </xf>
    <xf numFmtId="0" fontId="16" fillId="9" borderId="11" xfId="0" applyFont="1" applyFill="1" applyBorder="1" applyAlignment="1" applyProtection="1">
      <alignment horizontal="center" vertical="center"/>
      <protection locked="0"/>
    </xf>
    <xf numFmtId="0" fontId="22" fillId="9" borderId="11" xfId="0" applyFont="1" applyFill="1" applyBorder="1" applyAlignment="1" applyProtection="1">
      <alignment horizontal="left" vertical="center" indent="1"/>
      <protection locked="0"/>
    </xf>
    <xf numFmtId="165" fontId="16" fillId="9" borderId="11" xfId="0" applyNumberFormat="1" applyFont="1" applyFill="1" applyBorder="1" applyAlignment="1" applyProtection="1">
      <alignment horizontal="left" vertical="center"/>
      <protection locked="0"/>
    </xf>
    <xf numFmtId="164" fontId="16" fillId="9" borderId="11" xfId="0" applyNumberFormat="1" applyFont="1" applyFill="1" applyBorder="1" applyAlignment="1" applyProtection="1">
      <alignment horizontal="left" vertical="center"/>
      <protection locked="0"/>
    </xf>
    <xf numFmtId="0" fontId="16" fillId="10" borderId="11" xfId="0" applyFont="1" applyFill="1" applyBorder="1" applyAlignment="1" applyProtection="1">
      <alignment horizontal="center" vertical="center"/>
      <protection locked="0"/>
    </xf>
    <xf numFmtId="0" fontId="16" fillId="10" borderId="11" xfId="0" applyFont="1" applyFill="1" applyBorder="1" applyAlignment="1" applyProtection="1">
      <alignment horizontal="left" vertical="center" wrapText="1" indent="1"/>
      <protection locked="0"/>
    </xf>
    <xf numFmtId="0" fontId="16" fillId="10" borderId="11" xfId="0" applyFont="1" applyFill="1" applyBorder="1" applyAlignment="1" applyProtection="1">
      <alignment horizontal="left" vertical="center" indent="1"/>
      <protection locked="0"/>
    </xf>
    <xf numFmtId="165" fontId="16" fillId="10" borderId="11" xfId="0" quotePrefix="1" applyNumberFormat="1" applyFont="1" applyFill="1" applyBorder="1" applyAlignment="1" applyProtection="1">
      <alignment vertical="center"/>
      <protection locked="0"/>
    </xf>
    <xf numFmtId="165" fontId="16" fillId="10" borderId="11" xfId="0" applyNumberFormat="1" applyFont="1" applyFill="1" applyBorder="1" applyAlignment="1" applyProtection="1">
      <alignment horizontal="center" vertical="center"/>
      <protection locked="0"/>
    </xf>
    <xf numFmtId="0" fontId="16" fillId="0" borderId="11" xfId="0" applyFont="1" applyFill="1" applyBorder="1" applyAlignment="1" applyProtection="1">
      <alignment horizontal="left" vertical="center" indent="1"/>
      <protection locked="0"/>
    </xf>
    <xf numFmtId="0" fontId="16" fillId="0" borderId="11" xfId="0" applyFont="1" applyFill="1" applyBorder="1" applyAlignment="1" applyProtection="1">
      <alignment horizontal="left" vertical="center"/>
      <protection locked="0"/>
    </xf>
    <xf numFmtId="165" fontId="16" fillId="0" borderId="11" xfId="0" quotePrefix="1" applyNumberFormat="1" applyFont="1" applyFill="1" applyBorder="1" applyAlignment="1" applyProtection="1">
      <alignment horizontal="center" vertical="center"/>
      <protection locked="0"/>
    </xf>
    <xf numFmtId="0" fontId="16" fillId="3" borderId="11" xfId="0" applyFont="1" applyFill="1" applyBorder="1" applyAlignment="1" applyProtection="1">
      <alignment horizontal="left" vertical="center" indent="1"/>
      <protection locked="0"/>
    </xf>
    <xf numFmtId="0" fontId="16" fillId="3" borderId="11" xfId="0" applyFont="1" applyFill="1" applyBorder="1" applyAlignment="1" applyProtection="1">
      <alignment horizontal="left" vertical="center"/>
      <protection locked="0"/>
    </xf>
    <xf numFmtId="0" fontId="16" fillId="11" borderId="11" xfId="0" applyFont="1" applyFill="1" applyBorder="1" applyAlignment="1" applyProtection="1">
      <alignment horizontal="left" vertical="center"/>
      <protection locked="0"/>
    </xf>
    <xf numFmtId="165" fontId="16" fillId="11" borderId="11" xfId="0" quotePrefix="1" applyNumberFormat="1" applyFont="1" applyFill="1" applyBorder="1" applyAlignment="1" applyProtection="1">
      <alignment vertical="center"/>
      <protection locked="0"/>
    </xf>
    <xf numFmtId="165" fontId="16" fillId="11" borderId="11" xfId="0" quotePrefix="1" applyNumberFormat="1" applyFont="1" applyFill="1" applyBorder="1" applyAlignment="1" applyProtection="1">
      <alignment horizontal="center" vertical="center"/>
      <protection locked="0"/>
    </xf>
    <xf numFmtId="165" fontId="16" fillId="0" borderId="11" xfId="0" applyNumberFormat="1" applyFont="1" applyFill="1" applyBorder="1" applyAlignment="1" applyProtection="1">
      <alignment vertical="center"/>
      <protection locked="0"/>
    </xf>
    <xf numFmtId="165" fontId="16" fillId="0" borderId="11" xfId="0" applyNumberFormat="1" applyFont="1" applyFill="1" applyBorder="1" applyAlignment="1" applyProtection="1">
      <alignment horizontal="center" vertical="center"/>
      <protection locked="0"/>
    </xf>
    <xf numFmtId="165" fontId="16" fillId="9" borderId="11" xfId="0" applyNumberFormat="1" applyFont="1" applyFill="1" applyBorder="1" applyAlignment="1" applyProtection="1">
      <alignment horizontal="center" vertical="center"/>
      <protection locked="0"/>
    </xf>
    <xf numFmtId="0" fontId="16" fillId="0" borderId="11" xfId="0" applyFont="1" applyBorder="1" applyAlignment="1">
      <alignment horizontal="center" vertical="center"/>
    </xf>
    <xf numFmtId="0" fontId="16" fillId="0" borderId="0" xfId="0" applyFont="1" applyAlignment="1">
      <alignment horizontal="left" vertical="center"/>
    </xf>
    <xf numFmtId="0" fontId="16" fillId="0" borderId="0" xfId="0" applyFont="1" applyAlignment="1"/>
    <xf numFmtId="0" fontId="23" fillId="3" borderId="0" xfId="8" applyFont="1" applyFill="1" applyBorder="1" applyAlignment="1">
      <alignment horizontal="left" vertical="center"/>
    </xf>
    <xf numFmtId="0" fontId="16" fillId="0" borderId="12" xfId="0" applyFont="1" applyBorder="1">
      <alignment vertical="center"/>
    </xf>
    <xf numFmtId="0" fontId="16" fillId="0" borderId="12" xfId="0" applyFont="1" applyBorder="1" applyAlignment="1">
      <alignment horizontal="left" vertical="center"/>
    </xf>
    <xf numFmtId="0" fontId="16" fillId="0" borderId="12" xfId="0" applyFont="1" applyBorder="1" applyAlignment="1"/>
    <xf numFmtId="0" fontId="22" fillId="0" borderId="0" xfId="0" applyFont="1">
      <alignment vertical="center"/>
    </xf>
    <xf numFmtId="0" fontId="22" fillId="0" borderId="0" xfId="0" applyFont="1" applyAlignment="1">
      <alignment horizontal="left" vertical="center"/>
    </xf>
    <xf numFmtId="0" fontId="16" fillId="3" borderId="0" xfId="0" applyFont="1" applyFill="1" applyAlignment="1">
      <alignment vertical="center"/>
    </xf>
    <xf numFmtId="0" fontId="16" fillId="0" borderId="0" xfId="0" applyFont="1" applyAlignment="1">
      <alignment vertical="center"/>
    </xf>
    <xf numFmtId="0" fontId="24" fillId="3" borderId="0" xfId="0" applyFont="1" applyFill="1">
      <alignment vertical="center"/>
    </xf>
    <xf numFmtId="0" fontId="24" fillId="12" borderId="13" xfId="0" applyFont="1" applyFill="1" applyBorder="1" applyAlignment="1">
      <alignment horizontal="left" vertical="center"/>
    </xf>
    <xf numFmtId="0" fontId="24" fillId="12" borderId="14" xfId="0" applyFont="1" applyFill="1" applyBorder="1" applyAlignment="1">
      <alignment horizontal="left" vertical="center"/>
    </xf>
    <xf numFmtId="0" fontId="24" fillId="0" borderId="0" xfId="0" applyFont="1">
      <alignment vertical="center"/>
    </xf>
    <xf numFmtId="0" fontId="16" fillId="3" borderId="0" xfId="0" applyFont="1" applyFill="1">
      <alignment vertical="center"/>
    </xf>
    <xf numFmtId="0" fontId="25" fillId="3" borderId="0" xfId="0" applyFont="1" applyFill="1" applyBorder="1" applyAlignment="1">
      <alignment horizontal="left" vertical="center"/>
    </xf>
    <xf numFmtId="0" fontId="16" fillId="0" borderId="0" xfId="0" applyFont="1" applyBorder="1">
      <alignment vertical="center"/>
    </xf>
    <xf numFmtId="0" fontId="16" fillId="3" borderId="0" xfId="0" applyFont="1" applyFill="1" applyBorder="1" applyAlignment="1">
      <alignment horizontal="left" vertical="center"/>
    </xf>
    <xf numFmtId="0" fontId="16" fillId="3" borderId="0" xfId="0" applyFont="1" applyFill="1" applyBorder="1" applyAlignment="1"/>
    <xf numFmtId="0" fontId="16" fillId="3" borderId="0" xfId="0" applyFont="1" applyFill="1" applyAlignment="1"/>
    <xf numFmtId="0" fontId="26" fillId="0" borderId="0" xfId="0" applyFont="1">
      <alignment vertical="center"/>
    </xf>
    <xf numFmtId="0" fontId="26" fillId="0" borderId="0" xfId="0" applyFont="1" applyAlignment="1">
      <alignment horizontal="left" vertical="center"/>
    </xf>
    <xf numFmtId="0" fontId="26" fillId="0" borderId="15" xfId="0" applyFont="1" applyBorder="1" applyAlignment="1"/>
    <xf numFmtId="0" fontId="16" fillId="0" borderId="0" xfId="0" applyFont="1" applyProtection="1">
      <alignment vertical="center"/>
      <protection locked="0"/>
    </xf>
    <xf numFmtId="0" fontId="16" fillId="0" borderId="0" xfId="0" applyFont="1" applyAlignment="1" applyProtection="1">
      <alignment vertical="center"/>
      <protection locked="0"/>
    </xf>
    <xf numFmtId="165" fontId="16" fillId="10" borderId="11" xfId="0" quotePrefix="1" applyNumberFormat="1" applyFont="1" applyFill="1" applyBorder="1" applyAlignment="1" applyProtection="1">
      <alignment horizontal="center" vertical="center"/>
      <protection locked="0"/>
    </xf>
    <xf numFmtId="164" fontId="16" fillId="10" borderId="11" xfId="0" applyNumberFormat="1" applyFont="1" applyFill="1" applyBorder="1" applyAlignment="1" applyProtection="1">
      <alignment horizontal="left" vertical="center" indent="1"/>
      <protection locked="0"/>
    </xf>
    <xf numFmtId="164" fontId="16" fillId="10" borderId="11" xfId="0" quotePrefix="1" applyNumberFormat="1" applyFont="1" applyFill="1" applyBorder="1" applyAlignment="1" applyProtection="1">
      <alignment horizontal="left" vertical="center" wrapText="1" indent="1"/>
      <protection locked="0"/>
    </xf>
    <xf numFmtId="164" fontId="16" fillId="9" borderId="11" xfId="0" quotePrefix="1" applyNumberFormat="1" applyFont="1" applyFill="1" applyBorder="1" applyAlignment="1" applyProtection="1">
      <alignment horizontal="left" vertical="center" wrapText="1" indent="1"/>
      <protection locked="0"/>
    </xf>
    <xf numFmtId="165" fontId="16" fillId="3" borderId="11" xfId="0" applyNumberFormat="1" applyFont="1" applyFill="1" applyBorder="1" applyAlignment="1" applyProtection="1">
      <alignment horizontal="center" vertical="center"/>
      <protection locked="0"/>
    </xf>
    <xf numFmtId="165" fontId="16" fillId="3" borderId="11" xfId="0" quotePrefix="1" applyNumberFormat="1" applyFont="1" applyFill="1" applyBorder="1" applyAlignment="1" applyProtection="1">
      <alignment horizontal="center" vertical="center"/>
      <protection locked="0"/>
    </xf>
    <xf numFmtId="165" fontId="22" fillId="9" borderId="11" xfId="0" applyNumberFormat="1" applyFont="1" applyFill="1" applyBorder="1" applyAlignment="1" applyProtection="1">
      <alignment horizontal="center" vertical="center"/>
      <protection locked="0"/>
    </xf>
    <xf numFmtId="165" fontId="22" fillId="9" borderId="11" xfId="0" applyNumberFormat="1" applyFont="1" applyFill="1" applyBorder="1" applyAlignment="1" applyProtection="1">
      <alignment horizontal="left" vertical="center"/>
      <protection locked="0"/>
    </xf>
    <xf numFmtId="0" fontId="16" fillId="0" borderId="0" xfId="0" applyFont="1" applyFill="1">
      <alignment vertical="center"/>
    </xf>
    <xf numFmtId="0" fontId="16" fillId="0" borderId="1" xfId="0" applyFont="1" applyBorder="1" applyAlignment="1">
      <alignment vertical="center"/>
    </xf>
    <xf numFmtId="0" fontId="16" fillId="0" borderId="1" xfId="0" applyFont="1" applyBorder="1" applyAlignment="1">
      <alignment vertical="center" wrapText="1"/>
    </xf>
    <xf numFmtId="0" fontId="16" fillId="10" borderId="11" xfId="0" applyFont="1" applyFill="1" applyBorder="1" applyAlignment="1">
      <alignment horizontal="center" vertical="center"/>
    </xf>
    <xf numFmtId="0" fontId="22" fillId="9" borderId="16" xfId="0" applyFont="1" applyFill="1" applyBorder="1" applyAlignment="1" applyProtection="1">
      <alignment horizontal="left" vertical="center" indent="1"/>
      <protection locked="0"/>
    </xf>
    <xf numFmtId="165" fontId="16" fillId="9" borderId="16" xfId="0" quotePrefix="1" applyNumberFormat="1" applyFont="1" applyFill="1" applyBorder="1" applyAlignment="1" applyProtection="1">
      <alignment vertical="center"/>
      <protection locked="0"/>
    </xf>
    <xf numFmtId="165" fontId="16" fillId="9" borderId="16" xfId="0" applyNumberFormat="1" applyFont="1" applyFill="1" applyBorder="1" applyAlignment="1" applyProtection="1">
      <alignment horizontal="center" vertical="center"/>
      <protection locked="0"/>
    </xf>
    <xf numFmtId="0" fontId="16" fillId="9" borderId="16" xfId="0" applyFont="1" applyFill="1" applyBorder="1" applyAlignment="1" applyProtection="1">
      <alignment horizontal="center" vertical="center"/>
      <protection locked="0"/>
    </xf>
    <xf numFmtId="164" fontId="16" fillId="9" borderId="16" xfId="0" quotePrefix="1" applyNumberFormat="1" applyFont="1" applyFill="1" applyBorder="1" applyAlignment="1" applyProtection="1">
      <alignment horizontal="left" vertical="center" wrapText="1" indent="1"/>
      <protection locked="0"/>
    </xf>
    <xf numFmtId="164" fontId="16" fillId="10" borderId="11" xfId="0" quotePrefix="1" applyNumberFormat="1" applyFont="1" applyFill="1" applyBorder="1" applyAlignment="1">
      <alignment horizontal="left" vertical="center" wrapText="1" indent="1"/>
    </xf>
    <xf numFmtId="0" fontId="16" fillId="8" borderId="1" xfId="0" applyFont="1" applyFill="1" applyBorder="1" applyAlignment="1">
      <alignment vertical="center"/>
    </xf>
    <xf numFmtId="0" fontId="22" fillId="8" borderId="1" xfId="0" applyFont="1" applyFill="1" applyBorder="1" applyAlignment="1">
      <alignment vertical="center" wrapText="1"/>
    </xf>
    <xf numFmtId="0" fontId="16" fillId="8" borderId="1" xfId="0" applyFont="1" applyFill="1" applyBorder="1" applyAlignment="1">
      <alignment horizontal="left" vertical="center"/>
    </xf>
    <xf numFmtId="0" fontId="22" fillId="8" borderId="1" xfId="0" applyFont="1" applyFill="1" applyBorder="1" applyAlignment="1">
      <alignment vertical="center"/>
    </xf>
    <xf numFmtId="0" fontId="16" fillId="9" borderId="16" xfId="0" applyFont="1" applyFill="1" applyBorder="1" applyAlignment="1" applyProtection="1">
      <alignment vertical="center"/>
      <protection locked="0"/>
    </xf>
    <xf numFmtId="0" fontId="22" fillId="8" borderId="11" xfId="0" applyFont="1" applyFill="1" applyBorder="1" applyAlignment="1" applyProtection="1">
      <alignment horizontal="left" vertical="center" indent="1"/>
      <protection locked="0"/>
    </xf>
    <xf numFmtId="165" fontId="16" fillId="8" borderId="11" xfId="0" quotePrefix="1" applyNumberFormat="1" applyFont="1" applyFill="1" applyBorder="1" applyAlignment="1" applyProtection="1">
      <alignment horizontal="center" vertical="center"/>
      <protection locked="0"/>
    </xf>
    <xf numFmtId="0" fontId="22" fillId="0" borderId="2" xfId="0" applyFont="1" applyBorder="1" applyAlignment="1">
      <alignment horizontal="center" vertical="center"/>
    </xf>
    <xf numFmtId="0" fontId="16" fillId="7" borderId="2" xfId="0" applyFont="1" applyFill="1" applyBorder="1">
      <alignment vertical="center"/>
    </xf>
    <xf numFmtId="0" fontId="16" fillId="7" borderId="2" xfId="0" applyFont="1" applyFill="1" applyBorder="1" applyAlignment="1">
      <alignment horizontal="center" vertical="center"/>
    </xf>
    <xf numFmtId="165" fontId="16" fillId="10" borderId="11" xfId="0" applyNumberFormat="1" applyFont="1" applyFill="1" applyBorder="1" applyAlignment="1" applyProtection="1">
      <alignment horizontal="center" vertical="center"/>
      <protection locked="0"/>
    </xf>
    <xf numFmtId="0" fontId="24" fillId="12" borderId="17" xfId="0" applyFont="1" applyFill="1" applyBorder="1" applyAlignment="1">
      <alignment horizontal="left" vertical="center"/>
    </xf>
    <xf numFmtId="0" fontId="16" fillId="0" borderId="0" xfId="0" applyFont="1" applyBorder="1" applyAlignment="1">
      <alignment horizontal="center" vertical="center"/>
    </xf>
    <xf numFmtId="164" fontId="16" fillId="10" borderId="11" xfId="0" quotePrefix="1" applyNumberFormat="1" applyFont="1" applyFill="1" applyBorder="1" applyAlignment="1" applyProtection="1">
      <alignment horizontal="left" vertical="center"/>
      <protection locked="0"/>
    </xf>
    <xf numFmtId="0" fontId="27" fillId="3" borderId="6" xfId="6" applyFont="1" applyFill="1" applyAlignment="1">
      <alignment horizontal="center" vertical="center"/>
    </xf>
    <xf numFmtId="0" fontId="16" fillId="0" borderId="12" xfId="0" applyFont="1" applyBorder="1" applyAlignment="1">
      <alignment horizontal="center" vertical="center"/>
    </xf>
    <xf numFmtId="0" fontId="23" fillId="3" borderId="0" xfId="3" applyFont="1" applyFill="1" applyAlignment="1">
      <alignment horizontal="center" vertical="center"/>
    </xf>
    <xf numFmtId="0" fontId="24" fillId="12" borderId="14" xfId="0" applyFont="1" applyFill="1" applyBorder="1" applyAlignment="1">
      <alignment horizontal="center" vertical="center"/>
    </xf>
    <xf numFmtId="0" fontId="28" fillId="3" borderId="0" xfId="0" applyFont="1" applyFill="1" applyBorder="1" applyAlignment="1">
      <alignment horizontal="center" vertical="center"/>
    </xf>
    <xf numFmtId="0" fontId="26" fillId="0" borderId="0" xfId="0" applyFont="1" applyAlignment="1">
      <alignment horizontal="center" vertical="center"/>
    </xf>
    <xf numFmtId="0" fontId="16" fillId="8" borderId="1" xfId="0" applyFont="1" applyFill="1" applyBorder="1" applyAlignment="1">
      <alignment horizontal="center" vertical="center"/>
    </xf>
    <xf numFmtId="164" fontId="16" fillId="8" borderId="11" xfId="0" quotePrefix="1" applyNumberFormat="1" applyFont="1" applyFill="1" applyBorder="1" applyAlignment="1" applyProtection="1">
      <alignment horizontal="left" vertical="center" wrapText="1" indent="1"/>
      <protection locked="0"/>
    </xf>
    <xf numFmtId="165" fontId="16" fillId="8" borderId="11" xfId="0" applyNumberFormat="1" applyFont="1" applyFill="1" applyBorder="1" applyAlignment="1" applyProtection="1">
      <alignment vertical="center"/>
      <protection locked="0"/>
    </xf>
    <xf numFmtId="165" fontId="16" fillId="8" borderId="11" xfId="0" applyNumberFormat="1" applyFont="1" applyFill="1" applyBorder="1" applyAlignment="1" applyProtection="1">
      <alignment horizontal="center" vertical="center"/>
      <protection locked="0"/>
    </xf>
    <xf numFmtId="0" fontId="22" fillId="8" borderId="11" xfId="0" applyFont="1" applyFill="1" applyBorder="1" applyAlignment="1" applyProtection="1">
      <alignment horizontal="left" vertical="center"/>
      <protection locked="0"/>
    </xf>
    <xf numFmtId="0" fontId="16" fillId="0" borderId="0" xfId="0" applyFont="1" applyProtection="1">
      <alignment vertical="center"/>
      <protection locked="0"/>
    </xf>
    <xf numFmtId="0" fontId="16" fillId="0" borderId="0" xfId="0" applyFont="1">
      <alignment vertical="center"/>
    </xf>
    <xf numFmtId="165" fontId="22" fillId="8" borderId="11" xfId="0" applyNumberFormat="1" applyFont="1" applyFill="1" applyBorder="1" applyAlignment="1" applyProtection="1">
      <alignment horizontal="center" vertical="center"/>
      <protection locked="0"/>
    </xf>
    <xf numFmtId="164" fontId="22" fillId="8" borderId="11" xfId="0" quotePrefix="1" applyNumberFormat="1" applyFont="1" applyFill="1" applyBorder="1" applyAlignment="1" applyProtection="1">
      <alignment horizontal="left" vertical="center" wrapText="1" indent="1"/>
      <protection locked="0"/>
    </xf>
    <xf numFmtId="0" fontId="16" fillId="0" borderId="0" xfId="0" applyFont="1" applyFill="1" applyBorder="1" applyAlignment="1">
      <alignment horizontal="left" vertical="center"/>
    </xf>
    <xf numFmtId="0" fontId="2" fillId="0" borderId="0" xfId="0" applyFont="1" applyBorder="1" applyAlignment="1">
      <alignment horizontal="left" vertical="center"/>
    </xf>
    <xf numFmtId="0" fontId="16" fillId="10" borderId="0" xfId="0" applyFont="1" applyFill="1">
      <alignment vertical="center"/>
    </xf>
    <xf numFmtId="0" fontId="16" fillId="13" borderId="0" xfId="0" applyFont="1" applyFill="1">
      <alignment vertical="center"/>
    </xf>
    <xf numFmtId="0" fontId="16" fillId="0" borderId="0" xfId="0" applyFont="1" applyFill="1" applyAlignment="1">
      <alignment horizontal="center" vertical="center"/>
    </xf>
    <xf numFmtId="165" fontId="16" fillId="11" borderId="11" xfId="0" applyNumberFormat="1" applyFont="1" applyFill="1" applyBorder="1" applyAlignment="1" applyProtection="1">
      <alignment horizontal="center" vertical="center"/>
      <protection locked="0"/>
    </xf>
    <xf numFmtId="164" fontId="16" fillId="11" borderId="11" xfId="0" quotePrefix="1" applyNumberFormat="1" applyFont="1" applyFill="1" applyBorder="1" applyAlignment="1" applyProtection="1">
      <alignment horizontal="left" vertical="center"/>
      <protection locked="0"/>
    </xf>
    <xf numFmtId="165" fontId="16" fillId="11" borderId="11" xfId="0" quotePrefix="1" applyNumberFormat="1" applyFont="1" applyFill="1" applyBorder="1" applyAlignment="1" applyProtection="1">
      <alignment vertical="center"/>
      <protection locked="0"/>
    </xf>
    <xf numFmtId="165" fontId="16" fillId="11" borderId="11" xfId="0" quotePrefix="1" applyNumberFormat="1" applyFont="1" applyFill="1" applyBorder="1" applyAlignment="1" applyProtection="1">
      <alignment horizontal="center" vertical="center"/>
      <protection locked="0"/>
    </xf>
    <xf numFmtId="164" fontId="16" fillId="11" borderId="11" xfId="0" quotePrefix="1" applyNumberFormat="1" applyFont="1" applyFill="1" applyBorder="1" applyAlignment="1" applyProtection="1">
      <alignment horizontal="left" vertical="center"/>
      <protection locked="0"/>
    </xf>
    <xf numFmtId="0" fontId="16" fillId="10" borderId="11" xfId="0" applyFont="1" applyFill="1" applyBorder="1" applyAlignment="1">
      <alignment horizontal="left" vertical="center"/>
    </xf>
    <xf numFmtId="165" fontId="16" fillId="10" borderId="11" xfId="0" quotePrefix="1" applyNumberFormat="1" applyFont="1" applyFill="1" applyBorder="1" applyAlignment="1" applyProtection="1">
      <alignment vertical="center"/>
      <protection locked="0"/>
    </xf>
    <xf numFmtId="165" fontId="16" fillId="10" borderId="11" xfId="0" quotePrefix="1" applyNumberFormat="1" applyFont="1" applyFill="1" applyBorder="1" applyAlignment="1" applyProtection="1">
      <alignment horizontal="center" vertical="center"/>
      <protection locked="0"/>
    </xf>
    <xf numFmtId="0" fontId="16" fillId="10" borderId="11" xfId="0" applyFont="1" applyFill="1" applyBorder="1" applyAlignment="1" applyProtection="1">
      <alignment horizontal="center" vertical="center"/>
      <protection locked="0"/>
    </xf>
    <xf numFmtId="164" fontId="16" fillId="10" borderId="11" xfId="0" quotePrefix="1" applyNumberFormat="1" applyFont="1" applyFill="1" applyBorder="1" applyAlignment="1" applyProtection="1">
      <alignment horizontal="left" vertical="center"/>
      <protection locked="0"/>
    </xf>
    <xf numFmtId="0" fontId="16" fillId="11" borderId="11" xfId="0" applyFont="1" applyFill="1" applyBorder="1" applyAlignment="1" applyProtection="1">
      <alignment horizontal="left" vertical="center"/>
      <protection locked="0"/>
    </xf>
    <xf numFmtId="0" fontId="16" fillId="11" borderId="11" xfId="0" applyFont="1" applyFill="1" applyBorder="1" applyAlignment="1">
      <alignment horizontal="left" vertical="center"/>
    </xf>
    <xf numFmtId="0" fontId="22" fillId="10" borderId="11" xfId="0" applyFont="1" applyFill="1" applyBorder="1" applyAlignment="1" applyProtection="1">
      <alignment horizontal="left" vertical="center" indent="1"/>
      <protection locked="0"/>
    </xf>
    <xf numFmtId="0" fontId="16" fillId="11" borderId="11" xfId="0" applyFont="1" applyFill="1" applyBorder="1" applyAlignment="1">
      <alignment horizontal="center" vertical="center"/>
    </xf>
    <xf numFmtId="0" fontId="16" fillId="10" borderId="11" xfId="0" applyFont="1" applyFill="1" applyBorder="1" applyAlignment="1">
      <alignment horizontal="left" vertical="center"/>
    </xf>
    <xf numFmtId="165" fontId="16" fillId="10" borderId="11" xfId="0" quotePrefix="1" applyNumberFormat="1" applyFont="1" applyFill="1" applyBorder="1" applyAlignment="1" applyProtection="1">
      <alignment vertical="center"/>
      <protection locked="0"/>
    </xf>
    <xf numFmtId="165" fontId="16" fillId="10" borderId="11" xfId="0" applyNumberFormat="1" applyFont="1" applyFill="1" applyBorder="1" applyAlignment="1" applyProtection="1">
      <alignment horizontal="center" vertical="center"/>
      <protection locked="0"/>
    </xf>
    <xf numFmtId="0" fontId="16" fillId="10" borderId="11" xfId="0" applyFont="1" applyFill="1" applyBorder="1" applyAlignment="1" applyProtection="1">
      <alignment horizontal="center" vertical="center"/>
      <protection locked="0"/>
    </xf>
    <xf numFmtId="164" fontId="16" fillId="10" borderId="11" xfId="0" quotePrefix="1" applyNumberFormat="1" applyFont="1" applyFill="1" applyBorder="1" applyAlignment="1" applyProtection="1">
      <alignment horizontal="left" vertical="center"/>
      <protection locked="0"/>
    </xf>
    <xf numFmtId="0" fontId="16" fillId="11" borderId="11" xfId="0" applyFont="1" applyFill="1" applyBorder="1" applyAlignment="1" applyProtection="1">
      <alignment vertical="center"/>
      <protection locked="0"/>
    </xf>
    <xf numFmtId="0" fontId="16" fillId="11" borderId="11" xfId="0" applyFont="1" applyFill="1" applyBorder="1" applyAlignment="1" applyProtection="1">
      <alignment horizontal="center" vertical="center"/>
      <protection locked="0"/>
    </xf>
    <xf numFmtId="0" fontId="16" fillId="11" borderId="11" xfId="0" applyFont="1" applyFill="1" applyBorder="1" applyAlignment="1" applyProtection="1">
      <alignment horizontal="left" vertical="center"/>
      <protection locked="0"/>
    </xf>
    <xf numFmtId="0" fontId="16" fillId="11" borderId="11" xfId="0" applyFont="1" applyFill="1" applyBorder="1" applyAlignment="1">
      <alignment horizontal="left" vertical="center"/>
    </xf>
    <xf numFmtId="0" fontId="16" fillId="8" borderId="0" xfId="0" applyFont="1" applyFill="1">
      <alignment vertical="center"/>
    </xf>
    <xf numFmtId="165" fontId="29" fillId="11" borderId="11" xfId="0" quotePrefix="1" applyNumberFormat="1" applyFont="1" applyFill="1" applyBorder="1" applyAlignment="1" applyProtection="1">
      <alignment vertical="center"/>
      <protection locked="0"/>
    </xf>
    <xf numFmtId="164" fontId="29" fillId="11" borderId="11" xfId="0" quotePrefix="1" applyNumberFormat="1" applyFont="1" applyFill="1" applyBorder="1" applyAlignment="1" applyProtection="1">
      <alignment horizontal="left" vertical="center"/>
      <protection locked="0"/>
    </xf>
    <xf numFmtId="165" fontId="29" fillId="11" borderId="11" xfId="0" applyNumberFormat="1" applyFont="1" applyFill="1" applyBorder="1" applyAlignment="1" applyProtection="1">
      <alignment horizontal="center" vertical="center"/>
      <protection locked="0"/>
    </xf>
    <xf numFmtId="0" fontId="16" fillId="13" borderId="0" xfId="0" applyFont="1" applyFill="1" applyAlignment="1">
      <alignment horizontal="center" vertical="center"/>
    </xf>
    <xf numFmtId="0" fontId="0" fillId="0" borderId="0" xfId="0" applyAlignment="1">
      <alignment horizontal="center" vertical="center"/>
    </xf>
    <xf numFmtId="0" fontId="16" fillId="13" borderId="0" xfId="0" applyFont="1" applyFill="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5" fillId="3" borderId="0" xfId="5" quotePrefix="1" applyFont="1" applyFill="1" applyAlignment="1">
      <alignment vertical="center"/>
    </xf>
    <xf numFmtId="0" fontId="5" fillId="3" borderId="0" xfId="5" applyFont="1" applyFill="1" applyAlignment="1">
      <alignment vertical="center"/>
    </xf>
    <xf numFmtId="0" fontId="3" fillId="3" borderId="9" xfId="5" applyFont="1" applyFill="1" applyBorder="1" applyAlignment="1">
      <alignment vertical="center" wrapText="1"/>
    </xf>
    <xf numFmtId="0" fontId="32" fillId="3" borderId="10" xfId="5" applyFont="1" applyFill="1" applyBorder="1" applyAlignment="1">
      <alignment vertical="center" wrapText="1"/>
    </xf>
    <xf numFmtId="0" fontId="15" fillId="3" borderId="0" xfId="0" applyFont="1" applyFill="1" applyBorder="1" applyAlignment="1">
      <alignment vertical="center"/>
    </xf>
    <xf numFmtId="0" fontId="4" fillId="3" borderId="0" xfId="0" applyFont="1" applyFill="1" applyAlignment="1">
      <alignment vertical="center"/>
    </xf>
    <xf numFmtId="0" fontId="4" fillId="3" borderId="0" xfId="5" quotePrefix="1" applyFont="1" applyFill="1" applyAlignment="1">
      <alignment vertical="center" wrapText="1"/>
    </xf>
    <xf numFmtId="0" fontId="4" fillId="3" borderId="0" xfId="5" applyFont="1" applyFill="1" applyAlignment="1">
      <alignment vertical="center" wrapText="1"/>
    </xf>
    <xf numFmtId="0" fontId="4" fillId="3" borderId="0" xfId="0" quotePrefix="1" applyFont="1" applyFill="1" applyAlignment="1">
      <alignment vertical="center"/>
    </xf>
    <xf numFmtId="0" fontId="4" fillId="3" borderId="0" xfId="4" quotePrefix="1" applyFont="1" applyFill="1" applyAlignment="1">
      <alignment vertical="center" wrapText="1"/>
    </xf>
    <xf numFmtId="0" fontId="4" fillId="3" borderId="0" xfId="4" applyFont="1" applyFill="1" applyAlignment="1">
      <alignment vertical="center" wrapText="1"/>
    </xf>
    <xf numFmtId="0" fontId="30" fillId="3" borderId="0" xfId="0" applyFont="1" applyFill="1" applyBorder="1" applyAlignment="1">
      <alignment horizontal="center" vertical="center"/>
    </xf>
    <xf numFmtId="0" fontId="16" fillId="8" borderId="18" xfId="0" applyFont="1" applyFill="1" applyBorder="1" applyAlignment="1">
      <alignment horizontal="center" vertical="center"/>
    </xf>
    <xf numFmtId="0" fontId="16" fillId="8" borderId="10" xfId="0" applyFont="1" applyFill="1" applyBorder="1" applyAlignment="1">
      <alignment horizontal="center" vertical="center"/>
    </xf>
    <xf numFmtId="0" fontId="16" fillId="8" borderId="19" xfId="0" applyFont="1" applyFill="1" applyBorder="1" applyAlignment="1">
      <alignment horizontal="center" vertical="center"/>
    </xf>
    <xf numFmtId="0" fontId="17" fillId="3" borderId="9" xfId="0" applyFont="1" applyFill="1" applyBorder="1" applyAlignment="1">
      <alignment vertical="center"/>
    </xf>
    <xf numFmtId="0" fontId="17" fillId="3" borderId="10" xfId="0" applyFont="1" applyFill="1" applyBorder="1" applyAlignment="1">
      <alignment vertical="center"/>
    </xf>
    <xf numFmtId="0" fontId="31" fillId="3" borderId="9" xfId="7" applyFont="1" applyBorder="1">
      <alignment horizontal="left" vertical="center" wrapText="1" indent="2"/>
    </xf>
    <xf numFmtId="0" fontId="31" fillId="3" borderId="10" xfId="7" applyFont="1" applyBorder="1">
      <alignment horizontal="left" vertical="center" wrapText="1" indent="2"/>
    </xf>
    <xf numFmtId="0" fontId="17" fillId="3" borderId="9" xfId="0" applyFont="1" applyFill="1" applyBorder="1">
      <alignment vertical="center"/>
    </xf>
    <xf numFmtId="0" fontId="17" fillId="3" borderId="10" xfId="0" applyFont="1" applyFill="1" applyBorder="1">
      <alignment vertical="center"/>
    </xf>
    <xf numFmtId="0" fontId="19" fillId="3" borderId="0" xfId="4" applyFont="1" applyFill="1" applyAlignment="1">
      <alignment wrapText="1"/>
    </xf>
    <xf numFmtId="0" fontId="15" fillId="3" borderId="9" xfId="0" applyFont="1" applyFill="1" applyBorder="1" applyAlignment="1">
      <alignment vertical="center"/>
    </xf>
    <xf numFmtId="0" fontId="15" fillId="3" borderId="10" xfId="0" applyFont="1" applyFill="1" applyBorder="1" applyAlignment="1">
      <alignment vertical="center"/>
    </xf>
    <xf numFmtId="0" fontId="30" fillId="3" borderId="20" xfId="0" applyFont="1" applyFill="1" applyBorder="1">
      <alignment vertical="center"/>
    </xf>
    <xf numFmtId="0" fontId="30" fillId="3" borderId="18" xfId="0" applyFont="1" applyFill="1" applyBorder="1">
      <alignment vertical="center"/>
    </xf>
    <xf numFmtId="0" fontId="19" fillId="3" borderId="9" xfId="4" applyFont="1" applyFill="1" applyBorder="1" applyAlignment="1">
      <alignment vertical="center" wrapText="1"/>
    </xf>
    <xf numFmtId="0" fontId="19" fillId="3" borderId="10" xfId="4" applyFont="1" applyFill="1" applyBorder="1" applyAlignment="1">
      <alignment vertical="center" wrapText="1"/>
    </xf>
    <xf numFmtId="0" fontId="33" fillId="3" borderId="9" xfId="5" applyFont="1" applyFill="1" applyBorder="1" applyAlignment="1">
      <alignment wrapText="1"/>
    </xf>
    <xf numFmtId="0" fontId="33" fillId="3" borderId="10" xfId="5" applyFont="1" applyFill="1" applyBorder="1" applyAlignment="1">
      <alignment wrapText="1"/>
    </xf>
    <xf numFmtId="0" fontId="16" fillId="11" borderId="11" xfId="0" applyFont="1" applyFill="1" applyBorder="1" applyAlignment="1">
      <alignment vertical="center"/>
    </xf>
    <xf numFmtId="0" fontId="16" fillId="14" borderId="11" xfId="0" applyFont="1" applyFill="1" applyBorder="1" applyAlignment="1" applyProtection="1">
      <alignment horizontal="center" vertical="center"/>
      <protection locked="0"/>
    </xf>
    <xf numFmtId="0" fontId="16" fillId="14" borderId="0" xfId="0" applyFont="1" applyFill="1">
      <alignment vertical="center"/>
    </xf>
    <xf numFmtId="165" fontId="16" fillId="14" borderId="11" xfId="0" quotePrefix="1" applyNumberFormat="1" applyFont="1" applyFill="1" applyBorder="1" applyAlignment="1" applyProtection="1">
      <alignment horizontal="center" vertical="center"/>
      <protection locked="0"/>
    </xf>
    <xf numFmtId="164" fontId="16" fillId="14" borderId="11" xfId="0" quotePrefix="1" applyNumberFormat="1" applyFont="1" applyFill="1" applyBorder="1" applyAlignment="1" applyProtection="1">
      <alignment horizontal="left" vertical="center" wrapText="1" indent="1"/>
      <protection locked="0"/>
    </xf>
    <xf numFmtId="0" fontId="16" fillId="10" borderId="21" xfId="0" applyFont="1" applyFill="1" applyBorder="1">
      <alignment vertical="center"/>
    </xf>
    <xf numFmtId="0" fontId="16" fillId="10" borderId="16" xfId="0" applyFont="1" applyFill="1" applyBorder="1" applyAlignment="1">
      <alignment horizontal="left" vertical="center"/>
    </xf>
    <xf numFmtId="0" fontId="16" fillId="10" borderId="22" xfId="0" applyFont="1" applyFill="1" applyBorder="1" applyAlignment="1">
      <alignment horizontal="left" vertical="center"/>
    </xf>
    <xf numFmtId="0" fontId="16" fillId="10" borderId="1" xfId="0" applyFont="1" applyFill="1" applyBorder="1">
      <alignment vertical="center"/>
    </xf>
    <xf numFmtId="0" fontId="24" fillId="12" borderId="0" xfId="0" applyFont="1" applyFill="1" applyBorder="1" applyAlignment="1">
      <alignment horizontal="left" vertical="center"/>
    </xf>
    <xf numFmtId="0" fontId="24" fillId="12" borderId="0" xfId="0" applyFont="1" applyFill="1" applyBorder="1" applyAlignment="1">
      <alignment horizontal="center" vertical="center"/>
    </xf>
  </cellXfs>
  <cellStyles count="9">
    <cellStyle name="Followed Hyperlink" xfId="1" builtinId="9" customBuiltin="1"/>
    <cellStyle name="Heading 1" xfId="2" builtinId="16" customBuiltin="1"/>
    <cellStyle name="Heading 2" xfId="3" builtinId="17" customBuiltin="1"/>
    <cellStyle name="Heading 3" xfId="4" builtinId="18" customBuiltin="1"/>
    <cellStyle name="Hyperlink" xfId="5" builtinId="8" customBuiltin="1"/>
    <cellStyle name="Navigation" xfId="6"/>
    <cellStyle name="Normal" xfId="0" builtinId="0" customBuiltin="1"/>
    <cellStyle name="Tip" xfId="7"/>
    <cellStyle name="Title" xfId="8" builtinId="15"/>
  </cellStyles>
  <dxfs count="13">
    <dxf>
      <font>
        <strike val="0"/>
        <outline val="0"/>
        <shadow val="0"/>
        <u val="none"/>
        <vertAlign val="baseline"/>
        <sz val="12"/>
        <color theme="1"/>
        <name val="Times New Roman"/>
        <scheme val="none"/>
      </font>
      <fill>
        <patternFill patternType="solid">
          <fgColor indexed="64"/>
          <bgColor theme="0" tint="-4.9989318521683403E-2"/>
        </patternFill>
      </fill>
      <alignment horizontal="left"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strike val="0"/>
        <outline val="0"/>
        <shadow val="0"/>
        <u val="none"/>
        <vertAlign val="baseline"/>
        <sz val="12"/>
        <color theme="1"/>
        <name val="Times New Roman"/>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strike val="0"/>
        <outline val="0"/>
        <shadow val="0"/>
        <u val="none"/>
        <vertAlign val="baseline"/>
        <sz val="12"/>
        <color theme="1"/>
        <name val="Times New Roman"/>
        <scheme val="none"/>
      </font>
      <fill>
        <patternFill patternType="solid">
          <fgColor indexed="64"/>
          <bgColor theme="0" tint="-4.9989318521683403E-2"/>
        </patternFill>
      </fill>
      <alignment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strike val="0"/>
        <outline val="0"/>
        <shadow val="0"/>
        <u val="none"/>
        <vertAlign val="baseline"/>
        <sz val="12"/>
        <color theme="1"/>
        <name val="Times New Roman"/>
        <scheme val="none"/>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strike val="0"/>
        <outline val="0"/>
        <shadow val="0"/>
        <u val="none"/>
        <vertAlign val="baseline"/>
        <sz val="12"/>
        <color theme="1"/>
        <name val="Times New Roman"/>
        <scheme val="none"/>
      </font>
      <fill>
        <patternFill patternType="solid">
          <fgColor indexed="64"/>
          <bgColor theme="0" tint="-4.9989318521683403E-2"/>
        </patternFill>
      </fill>
      <alignment horizontal="left" vertical="center" textRotation="0" wrapText="0" relativeIndent="1"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strike val="0"/>
        <outline val="0"/>
        <shadow val="0"/>
        <u val="none"/>
        <vertAlign val="baseline"/>
        <sz val="12"/>
        <color theme="1"/>
        <name val="Times New Roman"/>
        <scheme val="none"/>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style="thin">
          <color theme="1" tint="0.249977111117893"/>
        </left>
        <right style="thin">
          <color theme="1" tint="0.249977111117893"/>
        </right>
        <top style="thin">
          <color theme="1" tint="0.249977111117893"/>
        </top>
        <bottom style="thin">
          <color theme="1" tint="0.249977111117893"/>
        </bottom>
      </border>
    </dxf>
    <dxf>
      <font>
        <strike val="0"/>
        <outline val="0"/>
        <shadow val="0"/>
        <u val="none"/>
        <vertAlign val="baseline"/>
        <sz val="12"/>
        <color theme="1"/>
        <name val="Times New Roman"/>
        <scheme val="none"/>
      </font>
    </dxf>
    <dxf>
      <font>
        <b val="0"/>
        <strike val="0"/>
        <outline val="0"/>
        <shadow val="0"/>
        <u val="none"/>
        <vertAlign val="baseline"/>
        <sz val="12"/>
        <color theme="1"/>
        <name val="Times New Roman"/>
        <scheme val="none"/>
      </font>
      <border diagonalUp="0" diagonalDown="0" outline="0">
        <left style="thin">
          <color indexed="64"/>
        </left>
        <right style="thin">
          <color indexed="64"/>
        </right>
        <top/>
        <bottom/>
      </border>
    </dxf>
    <dxf>
      <fill>
        <patternFill patternType="solid">
          <fgColor theme="8" tint="0.79985961485641044"/>
          <bgColor theme="0" tint="-4.9989318521683403E-2"/>
        </patternFill>
      </fill>
    </dxf>
    <dxf>
      <fill>
        <patternFill patternType="solid">
          <fgColor theme="8" tint="0.79985961485641044"/>
          <bgColor theme="0" tint="-4.9989318521683403E-2"/>
        </patternFill>
      </fill>
    </dxf>
    <dxf>
      <font>
        <b/>
        <color theme="1"/>
      </font>
      <border>
        <top style="double">
          <color theme="8"/>
        </top>
      </border>
    </dxf>
    <dxf>
      <font>
        <b/>
        <color theme="0"/>
      </font>
      <fill>
        <patternFill patternType="solid">
          <fgColor theme="8"/>
          <bgColor theme="4"/>
        </patternFill>
      </fill>
    </dxf>
    <dxf>
      <font>
        <color theme="1"/>
      </font>
      <border>
        <left style="thin">
          <color theme="8" tint="0.39997558519241921"/>
        </left>
        <right style="thin">
          <color theme="8" tint="0.39997558519241921"/>
        </right>
        <top style="thin">
          <color theme="8" tint="0.39997558519241921"/>
        </top>
        <bottom style="thin">
          <color theme="8" tint="0.39997558519241921"/>
        </bottom>
        <horizontal style="thin">
          <color theme="8" tint="0.39997558519241921"/>
        </horizontal>
      </border>
    </dxf>
  </dxfs>
  <tableStyles count="1" defaultTableStyle="Business Verification" defaultPivotStyle="PivotStyleLight16">
    <tableStyle name="Business Verification" pivot="0" count="5">
      <tableStyleElement type="wholeTable" dxfId="12"/>
      <tableStyleElement type="headerRow" dxfId="11"/>
      <tableStyleElement type="totalRow" dxfId="10"/>
      <tableStyleElement type="firstRowStripe" dxfId="9"/>
      <tableStyleElement type="firstColumn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solidFill>
                <a:srgbClr val="FFC000"/>
              </a:solidFill>
              <a:ln w="25400">
                <a:noFill/>
              </a:ln>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val>
            <c:numRef>
              <c:f>Tracking!$D$6:$G$6</c:f>
              <c:numCache>
                <c:formatCode>General</c:formatCode>
                <c:ptCount val="4"/>
                <c:pt idx="0">
                  <c:v>36</c:v>
                </c:pt>
                <c:pt idx="1">
                  <c:v>0</c:v>
                </c:pt>
                <c:pt idx="2">
                  <c:v>0</c:v>
                </c:pt>
                <c:pt idx="3">
                  <c:v>32</c:v>
                </c:pt>
              </c:numCache>
            </c:numRef>
          </c:val>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noFill/>
    <a:ln w="6350">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38100</xdr:rowOff>
    </xdr:from>
    <xdr:to>
      <xdr:col>1</xdr:col>
      <xdr:colOff>990600</xdr:colOff>
      <xdr:row>9</xdr:row>
      <xdr:rowOff>251460</xdr:rowOff>
    </xdr:to>
    <xdr:graphicFrame macro="">
      <xdr:nvGraphicFramePr>
        <xdr:cNvPr id="1989" name="DataQuality" descr="Pie chart comparing unmatched data/quality errors to confidence code range.  "/>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2" name="tblBusVerify" displayName="tblBusVerify" ref="B12:G92" totalsRowShown="0" headerRowDxfId="7" dataDxfId="6">
  <autoFilter ref="B12:G92"/>
  <tableColumns count="6">
    <tableColumn id="10" name="ID" dataDxfId="5"/>
    <tableColumn id="11" name="Tasks" dataDxfId="4"/>
    <tableColumn id="13" name="Start Date" dataDxfId="3"/>
    <tableColumn id="15" name="End Date" dataDxfId="2"/>
    <tableColumn id="22" name="Status" dataDxfId="1"/>
    <tableColumn id="14" name="Note" dataDxfId="0"/>
  </tableColumns>
  <tableStyleInfo name="Business Verification" showFirstColumn="0" showLastColumn="0" showRowStripes="0" showColumnStripes="0"/>
</table>
</file>

<file path=xl/theme/theme1.xml><?xml version="1.0" encoding="utf-8"?>
<a:theme xmlns:a="http://schemas.openxmlformats.org/drawingml/2006/main" name="Office Theme">
  <a:themeElements>
    <a:clrScheme name="Business Verification">
      <a:dk1>
        <a:sysClr val="windowText" lastClr="000000"/>
      </a:dk1>
      <a:lt1>
        <a:sysClr val="window" lastClr="FFFFFF"/>
      </a:lt1>
      <a:dk2>
        <a:srgbClr val="01096E"/>
      </a:dk2>
      <a:lt2>
        <a:srgbClr val="E7E6E6"/>
      </a:lt2>
      <a:accent1>
        <a:srgbClr val="5C99D2"/>
      </a:accent1>
      <a:accent2>
        <a:srgbClr val="70AD47"/>
      </a:accent2>
      <a:accent3>
        <a:srgbClr val="A5A5A5"/>
      </a:accent3>
      <a:accent4>
        <a:srgbClr val="FFC000"/>
      </a:accent4>
      <a:accent5>
        <a:srgbClr val="4472C4"/>
      </a:accent5>
      <a:accent6>
        <a:srgbClr val="ED7D31"/>
      </a:accent6>
      <a:hlink>
        <a:srgbClr val="0563C1"/>
      </a:hlink>
      <a:folHlink>
        <a:srgbClr val="954F72"/>
      </a:folHlink>
    </a:clrScheme>
    <a:fontScheme name="Calibri">
      <a:maj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4" tint="0.39997558519241921"/>
    <pageSetUpPr autoPageBreaks="0" fitToPage="1"/>
  </sheetPr>
  <dimension ref="B1:G137"/>
  <sheetViews>
    <sheetView showGridLines="0" tabSelected="1" topLeftCell="A82" zoomScaleNormal="100" workbookViewId="0">
      <selection activeCell="G95" sqref="G95:G137"/>
    </sheetView>
  </sheetViews>
  <sheetFormatPr defaultColWidth="9.109375" defaultRowHeight="18.75" customHeight="1" x14ac:dyDescent="0.3"/>
  <cols>
    <col min="1" max="1" width="2" style="27" customWidth="1"/>
    <col min="2" max="2" width="13.88671875" style="79" customWidth="1"/>
    <col min="3" max="3" width="72.109375" style="79" customWidth="1"/>
    <col min="4" max="5" width="15.44140625" style="79" customWidth="1"/>
    <col min="6" max="6" width="12.5546875" style="33" customWidth="1"/>
    <col min="7" max="7" width="54.33203125" style="70" customWidth="1"/>
    <col min="8" max="16384" width="9.109375" style="27"/>
  </cols>
  <sheetData>
    <row r="1" spans="2:7" ht="10.5" customHeight="1" x14ac:dyDescent="0.3">
      <c r="B1" s="27"/>
      <c r="C1" s="27"/>
      <c r="D1" s="27"/>
      <c r="E1" s="70"/>
      <c r="G1" s="71"/>
    </row>
    <row r="2" spans="2:7" ht="28.5" customHeight="1" x14ac:dyDescent="0.3">
      <c r="B2" s="72" t="s">
        <v>35</v>
      </c>
      <c r="C2" s="27"/>
      <c r="D2" s="27"/>
      <c r="E2" s="70"/>
      <c r="F2" s="127"/>
    </row>
    <row r="3" spans="2:7" ht="6" customHeight="1" x14ac:dyDescent="0.3">
      <c r="B3" s="73"/>
      <c r="C3" s="73"/>
      <c r="D3" s="73"/>
      <c r="E3" s="74"/>
      <c r="F3" s="128"/>
      <c r="G3" s="75"/>
    </row>
    <row r="4" spans="2:7" ht="15" customHeight="1" x14ac:dyDescent="0.3">
      <c r="B4" s="27"/>
      <c r="C4" s="76"/>
      <c r="D4" s="76"/>
      <c r="E4" s="77"/>
      <c r="F4" s="28"/>
      <c r="G4" s="71"/>
    </row>
    <row r="5" spans="2:7" s="79" customFormat="1" ht="15.6" x14ac:dyDescent="0.3">
      <c r="B5" s="78"/>
      <c r="C5" s="44" t="s">
        <v>14</v>
      </c>
      <c r="D5" s="44" t="s">
        <v>10</v>
      </c>
      <c r="E5" s="45" t="s">
        <v>123</v>
      </c>
      <c r="F5" s="129" t="s">
        <v>124</v>
      </c>
      <c r="G5" s="44" t="s">
        <v>11</v>
      </c>
    </row>
    <row r="6" spans="2:7" s="83" customFormat="1" ht="15.6" x14ac:dyDescent="0.3">
      <c r="B6" s="80"/>
      <c r="C6" s="81">
        <f>D6+E6+F6+G6</f>
        <v>68</v>
      </c>
      <c r="D6" s="82">
        <f>COUNTIFS(Tracking!$F$13:$F$297,"Open")</f>
        <v>36</v>
      </c>
      <c r="E6" s="124">
        <f>COUNTIFS(Tracking!$F$13:$F$297,"coding")</f>
        <v>0</v>
      </c>
      <c r="F6" s="130">
        <f>COUNTIFS(Tracking!$F$13:$F$297,"testing")</f>
        <v>0</v>
      </c>
      <c r="G6" s="124">
        <f>COUNTIFS(Tracking!$F$13:$F$297,"closed")</f>
        <v>32</v>
      </c>
    </row>
    <row r="7" spans="2:7" s="83" customFormat="1" ht="15.6" x14ac:dyDescent="0.3">
      <c r="B7" s="80"/>
      <c r="C7" s="219"/>
      <c r="D7" s="219"/>
      <c r="E7" s="219"/>
      <c r="F7" s="220"/>
      <c r="G7" s="219"/>
    </row>
    <row r="8" spans="2:7" ht="15.75" customHeight="1" x14ac:dyDescent="0.3">
      <c r="B8" s="84"/>
      <c r="C8" s="85" t="s">
        <v>413</v>
      </c>
      <c r="D8" s="86"/>
      <c r="E8" s="87"/>
      <c r="F8" s="131"/>
      <c r="G8" s="88"/>
    </row>
    <row r="9" spans="2:7" ht="3" customHeight="1" x14ac:dyDescent="0.3">
      <c r="B9" s="27"/>
      <c r="C9" s="27"/>
      <c r="D9" s="27"/>
      <c r="E9" s="70"/>
      <c r="G9" s="84"/>
    </row>
    <row r="10" spans="2:7" ht="5.25" customHeight="1" x14ac:dyDescent="0.3">
      <c r="B10" s="27"/>
      <c r="C10" s="27"/>
      <c r="D10" s="27"/>
      <c r="E10" s="70"/>
      <c r="G10" s="89"/>
    </row>
    <row r="11" spans="2:7" ht="0.75" hidden="1" customHeight="1" x14ac:dyDescent="0.3">
      <c r="B11" s="90" t="s">
        <v>4</v>
      </c>
      <c r="C11" s="90" t="s">
        <v>5</v>
      </c>
      <c r="D11" s="90" t="s">
        <v>2</v>
      </c>
      <c r="E11" s="91" t="s">
        <v>3</v>
      </c>
      <c r="F11" s="132" t="s">
        <v>0</v>
      </c>
      <c r="G11" s="92" t="s">
        <v>1</v>
      </c>
    </row>
    <row r="12" spans="2:7" s="93" customFormat="1" ht="31.5" customHeight="1" x14ac:dyDescent="0.3">
      <c r="B12" s="46" t="s">
        <v>4</v>
      </c>
      <c r="C12" s="47" t="s">
        <v>6</v>
      </c>
      <c r="D12" s="48" t="s">
        <v>7</v>
      </c>
      <c r="E12" s="48" t="s">
        <v>8</v>
      </c>
      <c r="F12" s="125" t="s">
        <v>9</v>
      </c>
      <c r="G12" s="48" t="s">
        <v>22</v>
      </c>
    </row>
    <row r="13" spans="2:7" s="94" customFormat="1" ht="30" customHeight="1" x14ac:dyDescent="0.3">
      <c r="B13" s="49"/>
      <c r="C13" s="50" t="s">
        <v>16</v>
      </c>
      <c r="D13" s="51"/>
      <c r="E13" s="51"/>
      <c r="F13" s="49"/>
      <c r="G13" s="52"/>
    </row>
    <row r="14" spans="2:7" s="94" customFormat="1" ht="38.25" customHeight="1" x14ac:dyDescent="0.3">
      <c r="B14" s="53" t="str">
        <f>IF(F14="","",SUBTOTAL(3,$F$14:F14))</f>
        <v/>
      </c>
      <c r="C14" s="54" t="s">
        <v>226</v>
      </c>
      <c r="D14" s="95"/>
      <c r="E14" s="57"/>
      <c r="F14" s="53"/>
      <c r="G14" s="96"/>
    </row>
    <row r="15" spans="2:7" s="94" customFormat="1" ht="49.5" customHeight="1" x14ac:dyDescent="0.3">
      <c r="B15" s="53" t="str">
        <f>IF(F15="","",SUBTOTAL(3,$F$14:F15))</f>
        <v/>
      </c>
      <c r="C15" s="54" t="s">
        <v>225</v>
      </c>
      <c r="D15" s="95"/>
      <c r="E15" s="57"/>
      <c r="F15" s="164"/>
      <c r="G15" s="97"/>
    </row>
    <row r="16" spans="2:7" s="94" customFormat="1" ht="20.25" customHeight="1" x14ac:dyDescent="0.3">
      <c r="B16" s="53" t="str">
        <f>IF(F16="","",SUBTOTAL(3,$F$14:F16))</f>
        <v/>
      </c>
      <c r="C16" s="55" t="s">
        <v>384</v>
      </c>
      <c r="D16" s="57"/>
      <c r="E16" s="57"/>
      <c r="F16" s="164"/>
      <c r="G16" s="97"/>
    </row>
    <row r="17" spans="2:7" s="94" customFormat="1" ht="18.75" customHeight="1" x14ac:dyDescent="0.3">
      <c r="B17" s="53" t="str">
        <f>IF(F17="","",SUBTOTAL(3,$F$14:F17))</f>
        <v/>
      </c>
      <c r="C17" s="55" t="s">
        <v>385</v>
      </c>
      <c r="D17" s="95"/>
      <c r="E17" s="95"/>
      <c r="F17" s="164"/>
      <c r="G17" s="97"/>
    </row>
    <row r="18" spans="2:7" s="94" customFormat="1" ht="18.75" customHeight="1" x14ac:dyDescent="0.3">
      <c r="B18" s="49"/>
      <c r="C18" s="50" t="s">
        <v>386</v>
      </c>
      <c r="D18" s="51"/>
      <c r="E18" s="51"/>
      <c r="F18" s="49"/>
      <c r="G18" s="52"/>
    </row>
    <row r="19" spans="2:7" s="94" customFormat="1" ht="18.75" customHeight="1" x14ac:dyDescent="0.3">
      <c r="B19" s="53" t="str">
        <f>IF(F19="","",SUBTOTAL(3,$F$14:F19))</f>
        <v/>
      </c>
      <c r="C19" s="144" t="s">
        <v>387</v>
      </c>
      <c r="D19" s="56"/>
      <c r="E19" s="95"/>
      <c r="F19" s="164"/>
      <c r="G19" s="97"/>
    </row>
    <row r="20" spans="2:7" s="94" customFormat="1" ht="18.75" customHeight="1" x14ac:dyDescent="0.3">
      <c r="B20" s="164"/>
      <c r="C20" s="161" t="s">
        <v>354</v>
      </c>
      <c r="D20" s="164"/>
      <c r="E20" s="164"/>
      <c r="F20" s="164"/>
      <c r="G20" s="164"/>
    </row>
    <row r="21" spans="2:7" s="94" customFormat="1" ht="18.75" customHeight="1" x14ac:dyDescent="0.3">
      <c r="B21" s="53" t="str">
        <f>IF(F21="","",SUBTOTAL(3,$F$14:F21))</f>
        <v/>
      </c>
      <c r="C21" s="144" t="s">
        <v>346</v>
      </c>
      <c r="D21" s="95"/>
      <c r="E21" s="95"/>
      <c r="F21" s="164"/>
      <c r="G21" s="97"/>
    </row>
    <row r="22" spans="2:7" s="93" customFormat="1" ht="31.2" x14ac:dyDescent="0.3">
      <c r="B22" s="211" t="str">
        <f>IF(F22="","",SUBTOTAL(3,$F$14:F22))</f>
        <v/>
      </c>
      <c r="C22" s="212" t="s">
        <v>388</v>
      </c>
      <c r="D22" s="213"/>
      <c r="E22" s="213"/>
      <c r="F22" s="211"/>
      <c r="G22" s="214" t="s">
        <v>389</v>
      </c>
    </row>
    <row r="23" spans="2:7" s="138" customFormat="1" ht="18.75" customHeight="1" x14ac:dyDescent="0.3">
      <c r="B23" s="50"/>
      <c r="C23" s="50" t="s">
        <v>390</v>
      </c>
      <c r="D23" s="50"/>
      <c r="E23" s="50"/>
      <c r="F23" s="50"/>
      <c r="G23" s="50"/>
    </row>
    <row r="24" spans="2:7" s="138" customFormat="1" ht="18.75" customHeight="1" x14ac:dyDescent="0.3">
      <c r="B24" s="161"/>
      <c r="C24" s="161" t="s">
        <v>391</v>
      </c>
      <c r="D24" s="216"/>
      <c r="E24" s="216"/>
      <c r="F24" s="216"/>
      <c r="G24" s="161"/>
    </row>
    <row r="25" spans="2:7" s="138" customFormat="1" ht="18.75" customHeight="1" x14ac:dyDescent="0.3">
      <c r="B25" s="144"/>
      <c r="C25" s="215" t="s">
        <v>392</v>
      </c>
      <c r="D25" s="218"/>
      <c r="E25" s="218"/>
      <c r="F25" s="218"/>
      <c r="G25" s="144"/>
    </row>
    <row r="26" spans="2:7" s="138" customFormat="1" ht="18.75" customHeight="1" x14ac:dyDescent="0.3">
      <c r="B26" s="161"/>
      <c r="C26" s="161" t="s">
        <v>393</v>
      </c>
      <c r="D26" s="217"/>
      <c r="E26" s="217"/>
      <c r="F26" s="217"/>
      <c r="G26" s="161"/>
    </row>
    <row r="27" spans="2:7" s="138" customFormat="1" ht="18.75" customHeight="1" x14ac:dyDescent="0.3">
      <c r="B27" s="50"/>
      <c r="C27" s="50" t="s">
        <v>394</v>
      </c>
      <c r="D27" s="50"/>
      <c r="E27" s="50"/>
      <c r="F27" s="50"/>
      <c r="G27" s="50"/>
    </row>
    <row r="28" spans="2:7" s="138" customFormat="1" ht="18.75" customHeight="1" x14ac:dyDescent="0.3">
      <c r="B28" s="166"/>
      <c r="C28" s="168" t="s">
        <v>395</v>
      </c>
      <c r="D28" s="166"/>
      <c r="E28" s="168"/>
      <c r="F28" s="167"/>
      <c r="G28" s="168"/>
    </row>
    <row r="29" spans="2:7" s="138" customFormat="1" ht="18.75" customHeight="1" x14ac:dyDescent="0.3">
      <c r="B29" s="166"/>
      <c r="C29" s="168" t="s">
        <v>396</v>
      </c>
      <c r="D29" s="166"/>
      <c r="E29" s="168"/>
      <c r="F29" s="167"/>
      <c r="G29" s="168"/>
    </row>
    <row r="30" spans="2:7" s="138" customFormat="1" ht="18.75" customHeight="1" x14ac:dyDescent="0.3">
      <c r="B30" s="166"/>
      <c r="C30" s="168" t="s">
        <v>397</v>
      </c>
      <c r="D30" s="166"/>
      <c r="E30" s="168"/>
      <c r="F30" s="167"/>
      <c r="G30" s="168"/>
    </row>
    <row r="31" spans="2:7" s="138" customFormat="1" ht="18.75" customHeight="1" x14ac:dyDescent="0.3">
      <c r="B31" s="166"/>
      <c r="C31" s="168" t="s">
        <v>398</v>
      </c>
      <c r="D31" s="166"/>
      <c r="E31" s="168"/>
      <c r="F31" s="167"/>
      <c r="G31" s="168"/>
    </row>
    <row r="32" spans="2:7" s="138" customFormat="1" ht="18.75" customHeight="1" x14ac:dyDescent="0.3">
      <c r="B32" s="166"/>
      <c r="C32" s="168" t="s">
        <v>397</v>
      </c>
      <c r="D32" s="166"/>
      <c r="E32" s="168"/>
      <c r="F32" s="167"/>
      <c r="G32" s="168"/>
    </row>
    <row r="33" spans="2:7" s="138" customFormat="1" ht="18.75" customHeight="1" x14ac:dyDescent="0.3">
      <c r="B33" s="166"/>
      <c r="C33" s="168" t="s">
        <v>399</v>
      </c>
      <c r="D33" s="166"/>
      <c r="E33" s="168"/>
      <c r="F33" s="167"/>
      <c r="G33" s="168"/>
    </row>
    <row r="34" spans="2:7" s="138" customFormat="1" ht="18.75" customHeight="1" x14ac:dyDescent="0.3">
      <c r="B34" s="210"/>
      <c r="C34" s="169" t="s">
        <v>400</v>
      </c>
      <c r="D34" s="210"/>
      <c r="E34" s="169"/>
      <c r="F34" s="160"/>
      <c r="G34" s="169"/>
    </row>
    <row r="35" spans="2:7" s="138" customFormat="1" ht="18.75" customHeight="1" x14ac:dyDescent="0.3">
      <c r="B35" s="50"/>
      <c r="C35" s="50" t="s">
        <v>401</v>
      </c>
      <c r="D35" s="50"/>
      <c r="E35" s="50"/>
      <c r="F35" s="50"/>
      <c r="G35" s="50"/>
    </row>
    <row r="36" spans="2:7" s="93" customFormat="1" ht="18.75" customHeight="1" x14ac:dyDescent="0.3">
      <c r="B36" s="53" t="str">
        <f>IF(F36="","",SUBTOTAL(3,$F$14:F36))</f>
        <v/>
      </c>
      <c r="C36" s="144" t="s">
        <v>245</v>
      </c>
      <c r="D36" s="95"/>
      <c r="E36" s="95"/>
      <c r="F36" s="164"/>
      <c r="G36" s="97"/>
    </row>
    <row r="37" spans="2:7" s="93" customFormat="1" ht="18.75" customHeight="1" x14ac:dyDescent="0.3">
      <c r="B37" s="53" t="str">
        <f>IF(F37="","",SUBTOTAL(3,$F$14:F37))</f>
        <v/>
      </c>
      <c r="C37" s="144" t="s">
        <v>246</v>
      </c>
      <c r="D37" s="56"/>
      <c r="E37" s="95"/>
      <c r="F37" s="164"/>
      <c r="G37" s="126"/>
    </row>
    <row r="38" spans="2:7" s="138" customFormat="1" ht="18.75" customHeight="1" x14ac:dyDescent="0.3">
      <c r="B38" s="53" t="str">
        <f>IF(F38="","",SUBTOTAL(3,$F$14:F38))</f>
        <v/>
      </c>
      <c r="C38" s="152" t="s">
        <v>347</v>
      </c>
      <c r="D38" s="153"/>
      <c r="E38" s="154"/>
      <c r="F38" s="164"/>
      <c r="G38" s="156"/>
    </row>
    <row r="39" spans="2:7" s="93" customFormat="1" ht="18.75" customHeight="1" x14ac:dyDescent="0.3">
      <c r="B39" s="53" t="str">
        <f>IF(F39="","",SUBTOTAL(3,$F$14:F39))</f>
        <v/>
      </c>
      <c r="C39" s="144" t="s">
        <v>247</v>
      </c>
      <c r="D39" s="95"/>
      <c r="E39" s="95"/>
      <c r="F39" s="164"/>
      <c r="G39" s="97"/>
    </row>
    <row r="40" spans="2:7" s="93" customFormat="1" ht="18.75" customHeight="1" x14ac:dyDescent="0.3">
      <c r="B40" s="53" t="str">
        <f>IF(F40="","",SUBTOTAL(3,$F$14:F40))</f>
        <v/>
      </c>
      <c r="C40" s="144" t="s">
        <v>64</v>
      </c>
      <c r="D40" s="56"/>
      <c r="E40" s="57"/>
      <c r="F40" s="164"/>
      <c r="G40" s="97"/>
    </row>
    <row r="41" spans="2:7" s="138" customFormat="1" ht="18.75" customHeight="1" x14ac:dyDescent="0.3">
      <c r="B41" s="155" t="str">
        <f>IF(F41="","",SUBTOTAL(3,$F$14:F41))</f>
        <v/>
      </c>
      <c r="C41" s="161" t="s">
        <v>353</v>
      </c>
      <c r="D41" s="162"/>
      <c r="E41" s="163"/>
      <c r="F41" s="164"/>
      <c r="G41" s="165"/>
    </row>
    <row r="42" spans="2:7" s="93" customFormat="1" ht="18.75" customHeight="1" x14ac:dyDescent="0.3">
      <c r="B42" s="53" t="str">
        <f>IF(F42="","",SUBTOTAL(3,$F$14:F42))</f>
        <v/>
      </c>
      <c r="C42" s="144" t="s">
        <v>248</v>
      </c>
      <c r="D42" s="56"/>
      <c r="E42" s="57"/>
      <c r="F42" s="164"/>
      <c r="G42" s="97"/>
    </row>
    <row r="43" spans="2:7" s="93" customFormat="1" ht="18.75" customHeight="1" x14ac:dyDescent="0.3">
      <c r="B43" s="53" t="str">
        <f>IF(F43="","",SUBTOTAL(3,$F$14:F43))</f>
        <v/>
      </c>
      <c r="C43" s="144" t="s">
        <v>249</v>
      </c>
      <c r="D43" s="56"/>
      <c r="E43" s="57"/>
      <c r="F43" s="164"/>
      <c r="G43" s="97"/>
    </row>
    <row r="44" spans="2:7" s="93" customFormat="1" ht="18.75" customHeight="1" x14ac:dyDescent="0.3">
      <c r="B44" s="53" t="str">
        <f>IF(F44="","",SUBTOTAL(3,$F$14:F44))</f>
        <v/>
      </c>
      <c r="C44" s="144" t="s">
        <v>250</v>
      </c>
      <c r="D44" s="56"/>
      <c r="E44" s="123"/>
      <c r="F44" s="164"/>
      <c r="G44" s="126"/>
    </row>
    <row r="45" spans="2:7" s="93" customFormat="1" ht="18.75" customHeight="1" x14ac:dyDescent="0.3">
      <c r="B45" s="53" t="str">
        <f>IF(F45="","",SUBTOTAL(3,$F$14:F45))</f>
        <v/>
      </c>
      <c r="C45" s="144" t="s">
        <v>251</v>
      </c>
      <c r="D45" s="95"/>
      <c r="E45" s="95"/>
      <c r="F45" s="164"/>
      <c r="G45" s="97"/>
    </row>
    <row r="46" spans="2:7" s="93" customFormat="1" ht="18.75" customHeight="1" x14ac:dyDescent="0.3">
      <c r="B46" s="53" t="str">
        <f>IF(F46="","",SUBTOTAL(3,$F$14:F46))</f>
        <v/>
      </c>
      <c r="C46" s="144" t="s">
        <v>252</v>
      </c>
      <c r="D46" s="95"/>
      <c r="E46" s="95"/>
      <c r="F46" s="164"/>
      <c r="G46" s="97"/>
    </row>
    <row r="47" spans="2:7" s="93" customFormat="1" ht="18.75" customHeight="1" x14ac:dyDescent="0.3">
      <c r="B47" s="53" t="str">
        <f>IF(F47="","",SUBTOTAL(3,$F$14:F47))</f>
        <v/>
      </c>
      <c r="C47" s="144" t="s">
        <v>253</v>
      </c>
      <c r="D47" s="95"/>
      <c r="E47" s="95"/>
      <c r="F47" s="164"/>
      <c r="G47" s="97"/>
    </row>
    <row r="48" spans="2:7" s="93" customFormat="1" ht="18.75" customHeight="1" x14ac:dyDescent="0.3">
      <c r="B48" s="50"/>
      <c r="C48" s="50" t="s">
        <v>402</v>
      </c>
      <c r="D48" s="50"/>
      <c r="E48" s="50"/>
      <c r="F48" s="50"/>
      <c r="G48" s="50"/>
    </row>
    <row r="49" spans="2:7" s="93" customFormat="1" ht="18.75" customHeight="1" x14ac:dyDescent="0.3">
      <c r="B49" s="53" t="str">
        <f>IF(F49="","",SUBTOTAL(3,$F$14:F49))</f>
        <v/>
      </c>
      <c r="C49" s="144" t="s">
        <v>256</v>
      </c>
      <c r="D49" s="56"/>
      <c r="E49" s="95"/>
      <c r="F49" s="164"/>
      <c r="G49" s="126"/>
    </row>
    <row r="50" spans="2:7" s="93" customFormat="1" ht="18.75" customHeight="1" x14ac:dyDescent="0.3">
      <c r="B50" s="53" t="str">
        <f>IF(F50="","",SUBTOTAL(3,$F$14:F50))</f>
        <v/>
      </c>
      <c r="C50" s="144" t="s">
        <v>257</v>
      </c>
      <c r="D50" s="56"/>
      <c r="E50" s="95"/>
      <c r="F50" s="164"/>
      <c r="G50" s="126"/>
    </row>
    <row r="51" spans="2:7" s="93" customFormat="1" ht="18.75" customHeight="1" x14ac:dyDescent="0.3">
      <c r="B51" s="53" t="str">
        <f>IF(F51="","",SUBTOTAL(3,$F$14:F51))</f>
        <v/>
      </c>
      <c r="C51" s="144" t="s">
        <v>258</v>
      </c>
      <c r="D51" s="56"/>
      <c r="E51" s="95"/>
      <c r="F51" s="164"/>
      <c r="G51" s="126"/>
    </row>
    <row r="52" spans="2:7" s="93" customFormat="1" ht="18.75" customHeight="1" x14ac:dyDescent="0.3">
      <c r="B52" s="53" t="str">
        <f>IF(F52="","",SUBTOTAL(3,$F$14:F52))</f>
        <v/>
      </c>
      <c r="C52" s="144" t="s">
        <v>259</v>
      </c>
      <c r="D52" s="56"/>
      <c r="E52" s="95"/>
      <c r="F52" s="164"/>
      <c r="G52" s="126"/>
    </row>
    <row r="53" spans="2:7" s="138" customFormat="1" ht="18.75" customHeight="1" x14ac:dyDescent="0.3">
      <c r="B53" s="50"/>
      <c r="C53" s="50" t="s">
        <v>403</v>
      </c>
      <c r="D53" s="50"/>
      <c r="E53" s="50"/>
      <c r="F53" s="50"/>
      <c r="G53" s="50"/>
    </row>
    <row r="54" spans="2:7" s="138" customFormat="1" ht="18.75" customHeight="1" x14ac:dyDescent="0.3">
      <c r="B54" s="53" t="str">
        <f>IF(F54="","",SUBTOTAL(3,$F$14:F54))</f>
        <v/>
      </c>
      <c r="C54" s="144" t="s">
        <v>65</v>
      </c>
      <c r="D54" s="64"/>
      <c r="E54" s="147"/>
      <c r="F54" s="164"/>
      <c r="G54" s="148"/>
    </row>
    <row r="55" spans="2:7" s="138" customFormat="1" ht="18.75" customHeight="1" x14ac:dyDescent="0.3">
      <c r="B55" s="164" t="str">
        <f>IF(F55="","",SUBTOTAL(3,$F$14:F55))</f>
        <v/>
      </c>
      <c r="C55" s="169" t="s">
        <v>404</v>
      </c>
      <c r="D55" s="171"/>
      <c r="E55" s="173"/>
      <c r="F55" s="164"/>
      <c r="G55" s="172"/>
    </row>
    <row r="56" spans="2:7" s="93" customFormat="1" ht="30" customHeight="1" x14ac:dyDescent="0.3">
      <c r="B56" s="155" t="str">
        <f>IF(F56="","",SUBTOTAL(3,$F$14:F56))</f>
        <v/>
      </c>
      <c r="C56" s="50" t="s">
        <v>405</v>
      </c>
      <c r="D56" s="68"/>
      <c r="E56" s="51"/>
      <c r="F56" s="164"/>
      <c r="G56" s="98"/>
    </row>
    <row r="57" spans="2:7" s="93" customFormat="1" ht="18.75" customHeight="1" x14ac:dyDescent="0.3">
      <c r="B57" s="53" t="str">
        <f>IF(F57="","",SUBTOTAL(3,$F$14:F57))</f>
        <v/>
      </c>
      <c r="C57" s="58" t="s">
        <v>45</v>
      </c>
      <c r="D57" s="60"/>
      <c r="E57" s="67"/>
      <c r="F57" s="164"/>
      <c r="G57" s="97"/>
    </row>
    <row r="58" spans="2:7" s="93" customFormat="1" ht="18.75" customHeight="1" x14ac:dyDescent="0.3">
      <c r="B58" s="53" t="str">
        <f>IF(F58="","",SUBTOTAL(3,$F$14:F58))</f>
        <v/>
      </c>
      <c r="C58" s="59" t="s">
        <v>46</v>
      </c>
      <c r="D58" s="60"/>
      <c r="E58" s="60"/>
      <c r="F58" s="164"/>
      <c r="G58" s="97"/>
    </row>
    <row r="59" spans="2:7" s="93" customFormat="1" ht="18.75" customHeight="1" x14ac:dyDescent="0.3">
      <c r="B59" s="53" t="str">
        <f>IF(F59="","",SUBTOTAL(3,$F$14:F59))</f>
        <v/>
      </c>
      <c r="C59" s="61" t="s">
        <v>406</v>
      </c>
      <c r="D59" s="99"/>
      <c r="E59" s="99"/>
      <c r="F59" s="164"/>
      <c r="G59" s="97"/>
    </row>
    <row r="60" spans="2:7" s="93" customFormat="1" ht="18.75" customHeight="1" x14ac:dyDescent="0.3">
      <c r="B60" s="53" t="str">
        <f>IF(F60="","",SUBTOTAL(3,$F$14:F60))</f>
        <v/>
      </c>
      <c r="C60" s="62" t="s">
        <v>407</v>
      </c>
      <c r="D60" s="99"/>
      <c r="E60" s="99"/>
      <c r="F60" s="164"/>
      <c r="G60" s="97"/>
    </row>
    <row r="61" spans="2:7" s="93" customFormat="1" ht="27.75" customHeight="1" x14ac:dyDescent="0.3">
      <c r="B61" s="53">
        <f>IF(F61="","",SUBTOTAL(3,$F$14:F61))</f>
        <v>1</v>
      </c>
      <c r="C61" s="50" t="s">
        <v>36</v>
      </c>
      <c r="D61" s="68"/>
      <c r="E61" s="51"/>
      <c r="F61" s="164" t="s">
        <v>11</v>
      </c>
      <c r="G61" s="98"/>
    </row>
    <row r="62" spans="2:7" s="93" customFormat="1" ht="18.75" customHeight="1" x14ac:dyDescent="0.3">
      <c r="B62" s="53">
        <f>IF(F62="","",SUBTOTAL(3,$F$14:F62))</f>
        <v>2</v>
      </c>
      <c r="C62" s="159" t="s">
        <v>37</v>
      </c>
      <c r="D62" s="95"/>
      <c r="E62" s="95"/>
      <c r="F62" s="164" t="s">
        <v>11</v>
      </c>
      <c r="G62" s="97"/>
    </row>
    <row r="63" spans="2:7" s="138" customFormat="1" ht="18.75" customHeight="1" x14ac:dyDescent="0.3">
      <c r="B63" s="53">
        <f>IF(F63="","",SUBTOTAL(3,$F$14:F63))</f>
        <v>3</v>
      </c>
      <c r="C63" s="157" t="s">
        <v>348</v>
      </c>
      <c r="D63" s="149"/>
      <c r="E63" s="150"/>
      <c r="F63" s="164" t="s">
        <v>11</v>
      </c>
      <c r="G63" s="151"/>
    </row>
    <row r="64" spans="2:7" s="138" customFormat="1" ht="18.75" customHeight="1" x14ac:dyDescent="0.3">
      <c r="B64" s="53">
        <f>IF(F64="","",SUBTOTAL(3,$F$14:F64))</f>
        <v>4</v>
      </c>
      <c r="C64" s="157" t="s">
        <v>349</v>
      </c>
      <c r="D64" s="149"/>
      <c r="E64" s="150"/>
      <c r="F64" s="164" t="s">
        <v>11</v>
      </c>
      <c r="G64" s="151"/>
    </row>
    <row r="65" spans="2:7" s="138" customFormat="1" ht="18.75" customHeight="1" x14ac:dyDescent="0.3">
      <c r="B65" s="53">
        <f>IF(F65="","",SUBTOTAL(3,$F$14:F65))</f>
        <v>5</v>
      </c>
      <c r="C65" s="157" t="s">
        <v>352</v>
      </c>
      <c r="D65" s="149"/>
      <c r="E65" s="150"/>
      <c r="F65" s="164" t="s">
        <v>11</v>
      </c>
      <c r="G65" s="151" t="s">
        <v>408</v>
      </c>
    </row>
    <row r="66" spans="2:7" s="138" customFormat="1" ht="18.75" customHeight="1" x14ac:dyDescent="0.3">
      <c r="B66" s="53">
        <f>IF(F66="","",SUBTOTAL(3,$F$14:F66))</f>
        <v>6</v>
      </c>
      <c r="C66" s="159" t="s">
        <v>38</v>
      </c>
      <c r="D66" s="95"/>
      <c r="E66" s="95"/>
      <c r="F66" s="164" t="s">
        <v>11</v>
      </c>
      <c r="G66" s="97"/>
    </row>
    <row r="67" spans="2:7" s="93" customFormat="1" ht="18.75" customHeight="1" x14ac:dyDescent="0.3">
      <c r="B67" s="53">
        <f>IF(F67="","",SUBTOTAL(3,$F$14:F67))</f>
        <v>7</v>
      </c>
      <c r="C67" s="118" t="s">
        <v>15</v>
      </c>
      <c r="D67" s="119"/>
      <c r="E67" s="119"/>
      <c r="F67" s="164" t="s">
        <v>11</v>
      </c>
      <c r="G67" s="119"/>
    </row>
    <row r="68" spans="2:7" s="93" customFormat="1" ht="18.75" customHeight="1" x14ac:dyDescent="0.3">
      <c r="B68" s="53">
        <f>IF(F68="","",SUBTOTAL(3,$F$14:F68))</f>
        <v>8</v>
      </c>
      <c r="C68" s="61" t="s">
        <v>39</v>
      </c>
      <c r="D68" s="100"/>
      <c r="E68" s="100"/>
      <c r="F68" s="164" t="s">
        <v>11</v>
      </c>
      <c r="G68" s="97"/>
    </row>
    <row r="69" spans="2:7" s="93" customFormat="1" ht="18.75" customHeight="1" x14ac:dyDescent="0.3">
      <c r="B69" s="53">
        <f>IF(F69="","",SUBTOTAL(3,$F$14:F69))</f>
        <v>9</v>
      </c>
      <c r="C69" s="61" t="s">
        <v>40</v>
      </c>
      <c r="D69" s="100"/>
      <c r="E69" s="100"/>
      <c r="F69" s="164" t="s">
        <v>11</v>
      </c>
      <c r="G69" s="97"/>
    </row>
    <row r="70" spans="2:7" s="138" customFormat="1" ht="18.75" customHeight="1" x14ac:dyDescent="0.3">
      <c r="B70" s="53">
        <f>IF(F70="","",SUBTOTAL(3,$F$14:F70))</f>
        <v>10</v>
      </c>
      <c r="C70" s="118" t="s">
        <v>335</v>
      </c>
      <c r="D70" s="119"/>
      <c r="E70" s="119"/>
      <c r="F70" s="164" t="s">
        <v>11</v>
      </c>
      <c r="G70" s="119"/>
    </row>
    <row r="71" spans="2:7" s="138" customFormat="1" ht="18.75" customHeight="1" x14ac:dyDescent="0.3">
      <c r="B71" s="53">
        <f>IF(F71="","",SUBTOTAL(3,$F$14:F71))</f>
        <v>11</v>
      </c>
      <c r="C71" s="70" t="s">
        <v>336</v>
      </c>
      <c r="D71" s="100"/>
      <c r="E71" s="100"/>
      <c r="F71" s="164" t="s">
        <v>11</v>
      </c>
      <c r="G71" s="97"/>
    </row>
    <row r="72" spans="2:7" s="138" customFormat="1" ht="18.75" customHeight="1" x14ac:dyDescent="0.3">
      <c r="B72" s="53">
        <f>IF(F72="","",SUBTOTAL(3,$F$14:F72))</f>
        <v>12</v>
      </c>
      <c r="C72" s="70" t="s">
        <v>337</v>
      </c>
      <c r="D72" s="64"/>
      <c r="E72" s="65"/>
      <c r="F72" s="164" t="s">
        <v>11</v>
      </c>
      <c r="G72" s="97"/>
    </row>
    <row r="73" spans="2:7" s="138" customFormat="1" ht="18.75" customHeight="1" x14ac:dyDescent="0.3">
      <c r="B73" s="53">
        <f>IF(F73="","",SUBTOTAL(3,$F$14:F73))</f>
        <v>13</v>
      </c>
      <c r="C73" s="158" t="s">
        <v>350</v>
      </c>
      <c r="D73" s="64"/>
      <c r="E73" s="65"/>
      <c r="F73" s="164" t="s">
        <v>11</v>
      </c>
      <c r="G73" s="148"/>
    </row>
    <row r="74" spans="2:7" s="138" customFormat="1" ht="18.75" customHeight="1" x14ac:dyDescent="0.3">
      <c r="B74" s="53">
        <f>IF(F74="","",SUBTOTAL(3,$F$14:F74))</f>
        <v>14</v>
      </c>
      <c r="C74" s="158" t="s">
        <v>351</v>
      </c>
      <c r="D74" s="64"/>
      <c r="E74" s="65"/>
      <c r="F74" s="164" t="s">
        <v>11</v>
      </c>
      <c r="G74" s="148"/>
    </row>
    <row r="75" spans="2:7" s="93" customFormat="1" ht="24.75" customHeight="1" x14ac:dyDescent="0.3">
      <c r="B75" s="53">
        <f>IF(F75="","",SUBTOTAL(3,$F$14:F75))</f>
        <v>15</v>
      </c>
      <c r="C75" s="50" t="s">
        <v>76</v>
      </c>
      <c r="D75" s="101"/>
      <c r="E75" s="102"/>
      <c r="F75" s="164" t="s">
        <v>11</v>
      </c>
      <c r="G75" s="98"/>
    </row>
    <row r="76" spans="2:7" ht="18.75" customHeight="1" x14ac:dyDescent="0.3">
      <c r="B76" s="53">
        <f>IF(F76="","",SUBTOTAL(3,$F$14:F76))</f>
        <v>16</v>
      </c>
      <c r="C76" s="118" t="s">
        <v>227</v>
      </c>
      <c r="D76" s="119"/>
      <c r="E76" s="119"/>
      <c r="F76" s="164" t="s">
        <v>11</v>
      </c>
      <c r="G76" s="134"/>
    </row>
    <row r="77" spans="2:7" ht="18.75" customHeight="1" x14ac:dyDescent="0.3">
      <c r="B77" s="53">
        <f>IF(F77="","",SUBTOTAL(3,$F$14:F77))</f>
        <v>17</v>
      </c>
      <c r="C77" s="61" t="s">
        <v>231</v>
      </c>
      <c r="D77" s="100"/>
      <c r="E77" s="100"/>
      <c r="F77" s="164" t="s">
        <v>11</v>
      </c>
      <c r="G77" s="97"/>
    </row>
    <row r="78" spans="2:7" ht="18.75" customHeight="1" x14ac:dyDescent="0.3">
      <c r="B78" s="53">
        <f>IF(F78="","",SUBTOTAL(3,$F$14:F78))</f>
        <v>18</v>
      </c>
      <c r="C78" s="61" t="s">
        <v>228</v>
      </c>
      <c r="D78" s="100"/>
      <c r="E78" s="100"/>
      <c r="F78" s="164" t="s">
        <v>11</v>
      </c>
      <c r="G78" s="97"/>
    </row>
    <row r="79" spans="2:7" ht="18.75" customHeight="1" x14ac:dyDescent="0.3">
      <c r="B79" s="53">
        <f>IF(F79="","",SUBTOTAL(3,$F$14:F79))</f>
        <v>19</v>
      </c>
      <c r="C79" s="61" t="s">
        <v>229</v>
      </c>
      <c r="D79" s="100"/>
      <c r="E79" s="100"/>
      <c r="F79" s="164" t="s">
        <v>11</v>
      </c>
      <c r="G79" s="97"/>
    </row>
    <row r="80" spans="2:7" ht="18.75" customHeight="1" x14ac:dyDescent="0.3">
      <c r="B80" s="53">
        <f>IF(F80="","",SUBTOTAL(3,$F$14:F80))</f>
        <v>20</v>
      </c>
      <c r="C80" s="63" t="s">
        <v>230</v>
      </c>
      <c r="D80" s="64"/>
      <c r="E80" s="65"/>
      <c r="F80" s="164" t="s">
        <v>11</v>
      </c>
      <c r="G80" s="97"/>
    </row>
    <row r="81" spans="2:7" ht="18.75" customHeight="1" x14ac:dyDescent="0.3">
      <c r="B81" s="53">
        <f>IF(F81="","",SUBTOTAL(3,$F$14:F81))</f>
        <v>21</v>
      </c>
      <c r="C81" s="118" t="s">
        <v>235</v>
      </c>
      <c r="D81" s="119"/>
      <c r="E81" s="119"/>
      <c r="F81" s="164" t="s">
        <v>11</v>
      </c>
      <c r="G81" s="134"/>
    </row>
    <row r="82" spans="2:7" ht="18.75" customHeight="1" x14ac:dyDescent="0.3">
      <c r="B82" s="53">
        <f>IF(F82="","",SUBTOTAL(3,$F$14:F82))</f>
        <v>22</v>
      </c>
      <c r="C82" s="61" t="s">
        <v>236</v>
      </c>
      <c r="D82" s="99"/>
      <c r="E82" s="99"/>
      <c r="F82" s="164" t="s">
        <v>11</v>
      </c>
      <c r="G82" s="97"/>
    </row>
    <row r="83" spans="2:7" ht="18.75" customHeight="1" x14ac:dyDescent="0.3">
      <c r="B83" s="53">
        <f>IF(F83="","",SUBTOTAL(3,$F$14:F83))</f>
        <v>23</v>
      </c>
      <c r="C83" s="61" t="s">
        <v>233</v>
      </c>
      <c r="D83" s="99"/>
      <c r="E83" s="99"/>
      <c r="F83" s="164" t="s">
        <v>11</v>
      </c>
      <c r="G83" s="97"/>
    </row>
    <row r="84" spans="2:7" s="103" customFormat="1" ht="18.75" customHeight="1" x14ac:dyDescent="0.3">
      <c r="B84" s="53">
        <f>IF(F84="","",SUBTOTAL(3,$F$14:F86))</f>
        <v>26</v>
      </c>
      <c r="C84" s="59" t="s">
        <v>234</v>
      </c>
      <c r="D84" s="66"/>
      <c r="E84" s="67"/>
      <c r="F84" s="164" t="s">
        <v>11</v>
      </c>
      <c r="G84" s="97"/>
    </row>
    <row r="85" spans="2:7" s="103" customFormat="1" ht="18.75" customHeight="1" x14ac:dyDescent="0.3">
      <c r="B85" s="53"/>
      <c r="C85" s="137" t="s">
        <v>232</v>
      </c>
      <c r="D85" s="135"/>
      <c r="E85" s="136"/>
      <c r="F85" s="164" t="s">
        <v>11</v>
      </c>
      <c r="G85" s="134"/>
    </row>
    <row r="86" spans="2:7" ht="21" customHeight="1" x14ac:dyDescent="0.3">
      <c r="B86" s="53">
        <f>IF(F86="","",SUBTOTAL(3,$F$14:F86))</f>
        <v>26</v>
      </c>
      <c r="C86" s="61" t="s">
        <v>237</v>
      </c>
      <c r="D86" s="99"/>
      <c r="E86" s="99"/>
      <c r="F86" s="164" t="s">
        <v>11</v>
      </c>
      <c r="G86" s="97"/>
    </row>
    <row r="87" spans="2:7" s="103" customFormat="1" ht="18.75" customHeight="1" x14ac:dyDescent="0.3">
      <c r="B87" s="53">
        <f>IF(F87="","",SUBTOTAL(3,$F$14:F87))</f>
        <v>27</v>
      </c>
      <c r="C87" s="59" t="s">
        <v>238</v>
      </c>
      <c r="D87" s="66"/>
      <c r="E87" s="67"/>
      <c r="F87" s="164" t="s">
        <v>11</v>
      </c>
      <c r="G87" s="97"/>
    </row>
    <row r="88" spans="2:7" ht="18.75" customHeight="1" x14ac:dyDescent="0.3">
      <c r="B88" s="53">
        <f>IF(F88="","",SUBTOTAL(3,$F$14:F88))</f>
        <v>28</v>
      </c>
      <c r="C88" s="50" t="s">
        <v>34</v>
      </c>
      <c r="D88" s="68"/>
      <c r="E88" s="51"/>
      <c r="F88" s="164" t="s">
        <v>11</v>
      </c>
      <c r="G88" s="98"/>
    </row>
    <row r="89" spans="2:7" ht="18.75" customHeight="1" x14ac:dyDescent="0.3">
      <c r="B89" s="53"/>
      <c r="C89" s="118" t="s">
        <v>239</v>
      </c>
      <c r="D89" s="136"/>
      <c r="E89" s="136"/>
      <c r="F89" s="164" t="s">
        <v>11</v>
      </c>
      <c r="G89" s="134"/>
    </row>
    <row r="90" spans="2:7" ht="18.75" customHeight="1" x14ac:dyDescent="0.3">
      <c r="B90" s="53">
        <f>IF(F90="","",SUBTOTAL(3,$F$14:F90))</f>
        <v>30</v>
      </c>
      <c r="C90" s="61" t="s">
        <v>241</v>
      </c>
      <c r="D90" s="99"/>
      <c r="E90" s="99"/>
      <c r="F90" s="164" t="s">
        <v>11</v>
      </c>
      <c r="G90" s="97"/>
    </row>
    <row r="91" spans="2:7" ht="18.75" customHeight="1" x14ac:dyDescent="0.3">
      <c r="B91" s="53">
        <f>IF(F91="","",SUBTOTAL(3,$F$14:F93))</f>
        <v>32</v>
      </c>
      <c r="C91" s="61" t="s">
        <v>242</v>
      </c>
      <c r="D91" s="99"/>
      <c r="E91" s="99"/>
      <c r="F91" s="164" t="s">
        <v>11</v>
      </c>
      <c r="G91" s="97"/>
    </row>
    <row r="92" spans="2:7" ht="18.75" customHeight="1" x14ac:dyDescent="0.3">
      <c r="B92" s="53"/>
      <c r="C92" s="118" t="s">
        <v>240</v>
      </c>
      <c r="D92" s="140"/>
      <c r="E92" s="140"/>
      <c r="F92" s="164" t="s">
        <v>11</v>
      </c>
      <c r="G92" s="141"/>
    </row>
    <row r="93" spans="2:7" ht="18.75" customHeight="1" x14ac:dyDescent="0.3">
      <c r="B93" s="117"/>
      <c r="C93" s="107" t="s">
        <v>33</v>
      </c>
      <c r="D93" s="108"/>
      <c r="E93" s="109"/>
      <c r="F93" s="110"/>
      <c r="G93" s="111"/>
    </row>
    <row r="94" spans="2:7" ht="18.75" customHeight="1" x14ac:dyDescent="0.3">
      <c r="B94" s="113"/>
      <c r="C94" s="114" t="s">
        <v>409</v>
      </c>
      <c r="D94" s="113"/>
      <c r="E94" s="113"/>
      <c r="F94" s="133"/>
      <c r="G94" s="115"/>
    </row>
    <row r="95" spans="2:7" ht="18.75" customHeight="1" x14ac:dyDescent="0.3">
      <c r="B95" s="69" t="s">
        <v>68</v>
      </c>
      <c r="C95" s="105" t="s">
        <v>147</v>
      </c>
      <c r="D95" s="104"/>
      <c r="E95" s="104"/>
      <c r="F95" s="106" t="s">
        <v>10</v>
      </c>
      <c r="G95" s="112"/>
    </row>
    <row r="96" spans="2:7" ht="18.75" customHeight="1" x14ac:dyDescent="0.3">
      <c r="B96" s="69" t="s">
        <v>69</v>
      </c>
      <c r="C96" s="105" t="s">
        <v>148</v>
      </c>
      <c r="D96" s="104"/>
      <c r="E96" s="104"/>
      <c r="F96" s="106" t="s">
        <v>10</v>
      </c>
      <c r="G96" s="112"/>
    </row>
    <row r="97" spans="2:7" ht="15.6" x14ac:dyDescent="0.3">
      <c r="B97" s="69" t="s">
        <v>70</v>
      </c>
      <c r="C97" s="105" t="s">
        <v>149</v>
      </c>
      <c r="D97" s="104"/>
      <c r="E97" s="104"/>
      <c r="F97" s="106" t="s">
        <v>10</v>
      </c>
      <c r="G97" s="112"/>
    </row>
    <row r="98" spans="2:7" ht="31.2" x14ac:dyDescent="0.3">
      <c r="B98" s="69" t="s">
        <v>71</v>
      </c>
      <c r="C98" s="105" t="s">
        <v>150</v>
      </c>
      <c r="D98" s="104"/>
      <c r="E98" s="104"/>
      <c r="F98" s="106" t="s">
        <v>10</v>
      </c>
      <c r="G98" s="112"/>
    </row>
    <row r="99" spans="2:7" ht="31.2" x14ac:dyDescent="0.3">
      <c r="B99" s="69" t="s">
        <v>85</v>
      </c>
      <c r="C99" s="105" t="s">
        <v>151</v>
      </c>
      <c r="D99" s="104"/>
      <c r="E99" s="104"/>
      <c r="F99" s="106" t="s">
        <v>10</v>
      </c>
      <c r="G99" s="112"/>
    </row>
    <row r="100" spans="2:7" ht="31.2" x14ac:dyDescent="0.3">
      <c r="B100" s="69" t="s">
        <v>86</v>
      </c>
      <c r="C100" s="105" t="s">
        <v>152</v>
      </c>
      <c r="D100" s="104"/>
      <c r="E100" s="104"/>
      <c r="F100" s="106" t="s">
        <v>10</v>
      </c>
      <c r="G100" s="112"/>
    </row>
    <row r="101" spans="2:7" ht="15.6" x14ac:dyDescent="0.3">
      <c r="B101" s="69" t="s">
        <v>87</v>
      </c>
      <c r="C101" s="105" t="s">
        <v>153</v>
      </c>
      <c r="D101" s="104"/>
      <c r="E101" s="104"/>
      <c r="F101" s="106" t="s">
        <v>10</v>
      </c>
      <c r="G101" s="112"/>
    </row>
    <row r="102" spans="2:7" ht="18.75" customHeight="1" x14ac:dyDescent="0.3">
      <c r="B102" s="69" t="s">
        <v>88</v>
      </c>
      <c r="C102" s="105" t="s">
        <v>154</v>
      </c>
      <c r="D102" s="104"/>
      <c r="E102" s="104"/>
      <c r="F102" s="106" t="s">
        <v>10</v>
      </c>
      <c r="G102" s="112"/>
    </row>
    <row r="103" spans="2:7" ht="18.75" customHeight="1" x14ac:dyDescent="0.3">
      <c r="B103" s="69" t="s">
        <v>141</v>
      </c>
      <c r="C103" s="105" t="s">
        <v>155</v>
      </c>
      <c r="D103" s="104"/>
      <c r="E103" s="104"/>
      <c r="F103" s="106" t="s">
        <v>10</v>
      </c>
      <c r="G103" s="112"/>
    </row>
    <row r="104" spans="2:7" ht="15.6" x14ac:dyDescent="0.3">
      <c r="B104" s="69" t="s">
        <v>142</v>
      </c>
      <c r="C104" s="105" t="s">
        <v>156</v>
      </c>
      <c r="D104" s="104"/>
      <c r="E104" s="104"/>
      <c r="F104" s="106" t="s">
        <v>10</v>
      </c>
      <c r="G104" s="112"/>
    </row>
    <row r="105" spans="2:7" ht="18.75" customHeight="1" x14ac:dyDescent="0.3">
      <c r="B105" s="113"/>
      <c r="C105" s="116" t="s">
        <v>410</v>
      </c>
      <c r="D105" s="113"/>
      <c r="E105" s="113"/>
      <c r="F105" s="133"/>
      <c r="G105" s="115"/>
    </row>
    <row r="106" spans="2:7" ht="18.75" customHeight="1" x14ac:dyDescent="0.3">
      <c r="B106" s="69" t="s">
        <v>143</v>
      </c>
      <c r="C106" s="104" t="s">
        <v>411</v>
      </c>
      <c r="D106" s="104"/>
      <c r="E106" s="104"/>
      <c r="F106" s="106" t="s">
        <v>10</v>
      </c>
      <c r="G106" s="112"/>
    </row>
    <row r="107" spans="2:7" ht="18.75" customHeight="1" x14ac:dyDescent="0.3">
      <c r="B107" s="69" t="s">
        <v>144</v>
      </c>
      <c r="C107" s="104" t="s">
        <v>412</v>
      </c>
      <c r="D107" s="104"/>
      <c r="E107" s="104"/>
      <c r="F107" s="106" t="s">
        <v>10</v>
      </c>
      <c r="G107" s="112"/>
    </row>
    <row r="108" spans="2:7" ht="18.75" customHeight="1" x14ac:dyDescent="0.3">
      <c r="B108" s="113"/>
      <c r="C108" s="116" t="s">
        <v>127</v>
      </c>
      <c r="D108" s="113"/>
      <c r="E108" s="113"/>
      <c r="F108" s="133"/>
      <c r="G108" s="115"/>
    </row>
    <row r="109" spans="2:7" ht="18.75" customHeight="1" x14ac:dyDescent="0.3">
      <c r="B109" s="69" t="s">
        <v>145</v>
      </c>
      <c r="C109" s="104" t="s">
        <v>157</v>
      </c>
      <c r="D109" s="104"/>
      <c r="E109" s="104"/>
      <c r="F109" s="106" t="s">
        <v>10</v>
      </c>
      <c r="G109" s="112"/>
    </row>
    <row r="110" spans="2:7" ht="18.75" customHeight="1" x14ac:dyDescent="0.3">
      <c r="B110" s="69" t="s">
        <v>146</v>
      </c>
      <c r="C110" s="104" t="s">
        <v>158</v>
      </c>
      <c r="D110" s="104"/>
      <c r="E110" s="104"/>
      <c r="F110" s="106" t="s">
        <v>10</v>
      </c>
      <c r="G110" s="112"/>
    </row>
    <row r="111" spans="2:7" ht="15.6" x14ac:dyDescent="0.3">
      <c r="B111" s="69" t="s">
        <v>161</v>
      </c>
      <c r="C111" s="104" t="s">
        <v>159</v>
      </c>
      <c r="D111" s="104"/>
      <c r="E111" s="104"/>
      <c r="F111" s="106" t="s">
        <v>10</v>
      </c>
      <c r="G111" s="112"/>
    </row>
    <row r="112" spans="2:7" ht="31.2" x14ac:dyDescent="0.3">
      <c r="B112" s="69" t="s">
        <v>162</v>
      </c>
      <c r="C112" s="105" t="s">
        <v>160</v>
      </c>
      <c r="D112" s="104"/>
      <c r="E112" s="104"/>
      <c r="F112" s="106" t="s">
        <v>10</v>
      </c>
      <c r="G112" s="112"/>
    </row>
    <row r="113" spans="2:7" ht="18.75" customHeight="1" x14ac:dyDescent="0.3">
      <c r="B113" s="113"/>
      <c r="C113" s="116" t="s">
        <v>128</v>
      </c>
      <c r="D113" s="113"/>
      <c r="E113" s="113"/>
      <c r="F113" s="133"/>
      <c r="G113" s="115"/>
    </row>
    <row r="114" spans="2:7" ht="18.75" customHeight="1" x14ac:dyDescent="0.3">
      <c r="B114" s="69" t="s">
        <v>174</v>
      </c>
      <c r="C114" s="104" t="s">
        <v>165</v>
      </c>
      <c r="D114" s="104"/>
      <c r="E114" s="104"/>
      <c r="F114" s="106" t="s">
        <v>10</v>
      </c>
      <c r="G114" s="112"/>
    </row>
    <row r="115" spans="2:7" ht="18.75" customHeight="1" x14ac:dyDescent="0.3">
      <c r="B115" s="69" t="s">
        <v>175</v>
      </c>
      <c r="C115" s="104" t="s">
        <v>163</v>
      </c>
      <c r="D115" s="104"/>
      <c r="E115" s="104"/>
      <c r="F115" s="106" t="s">
        <v>10</v>
      </c>
      <c r="G115" s="112"/>
    </row>
    <row r="116" spans="2:7" ht="18.75" customHeight="1" x14ac:dyDescent="0.3">
      <c r="B116" s="69" t="s">
        <v>176</v>
      </c>
      <c r="C116" s="104" t="s">
        <v>164</v>
      </c>
      <c r="D116" s="104"/>
      <c r="E116" s="104"/>
      <c r="F116" s="106" t="s">
        <v>10</v>
      </c>
      <c r="G116" s="112"/>
    </row>
    <row r="117" spans="2:7" ht="18.75" customHeight="1" x14ac:dyDescent="0.3">
      <c r="B117" s="113"/>
      <c r="C117" s="116" t="s">
        <v>126</v>
      </c>
      <c r="D117" s="113"/>
      <c r="E117" s="113"/>
      <c r="F117" s="133"/>
      <c r="G117" s="115"/>
    </row>
    <row r="118" spans="2:7" ht="18.75" customHeight="1" x14ac:dyDescent="0.3">
      <c r="B118" s="69" t="s">
        <v>177</v>
      </c>
      <c r="C118" s="104" t="s">
        <v>166</v>
      </c>
      <c r="D118" s="104"/>
      <c r="E118" s="104"/>
      <c r="F118" s="106" t="s">
        <v>10</v>
      </c>
      <c r="G118" s="112"/>
    </row>
    <row r="119" spans="2:7" ht="18.75" customHeight="1" x14ac:dyDescent="0.3">
      <c r="B119" s="69" t="s">
        <v>178</v>
      </c>
      <c r="C119" s="104" t="s">
        <v>167</v>
      </c>
      <c r="D119" s="104"/>
      <c r="E119" s="104"/>
      <c r="F119" s="106" t="s">
        <v>10</v>
      </c>
      <c r="G119" s="112"/>
    </row>
    <row r="120" spans="2:7" ht="18.75" customHeight="1" x14ac:dyDescent="0.3">
      <c r="B120" s="69" t="s">
        <v>179</v>
      </c>
      <c r="C120" s="104" t="s">
        <v>168</v>
      </c>
      <c r="D120" s="104"/>
      <c r="E120" s="104"/>
      <c r="F120" s="106" t="s">
        <v>10</v>
      </c>
      <c r="G120" s="112"/>
    </row>
    <row r="121" spans="2:7" ht="18.75" customHeight="1" x14ac:dyDescent="0.3">
      <c r="B121" s="69" t="s">
        <v>180</v>
      </c>
      <c r="C121" s="104" t="s">
        <v>169</v>
      </c>
      <c r="D121" s="104"/>
      <c r="E121" s="104"/>
      <c r="F121" s="106" t="s">
        <v>10</v>
      </c>
      <c r="G121" s="112"/>
    </row>
    <row r="122" spans="2:7" ht="18.75" customHeight="1" x14ac:dyDescent="0.3">
      <c r="B122" s="69" t="s">
        <v>181</v>
      </c>
      <c r="C122" s="104" t="s">
        <v>170</v>
      </c>
      <c r="D122" s="104"/>
      <c r="E122" s="104"/>
      <c r="F122" s="106" t="s">
        <v>10</v>
      </c>
      <c r="G122" s="112"/>
    </row>
    <row r="123" spans="2:7" ht="18.75" customHeight="1" x14ac:dyDescent="0.3">
      <c r="B123" s="69" t="s">
        <v>182</v>
      </c>
      <c r="C123" s="104" t="s">
        <v>171</v>
      </c>
      <c r="D123" s="104"/>
      <c r="E123" s="104"/>
      <c r="F123" s="106" t="s">
        <v>10</v>
      </c>
      <c r="G123" s="112"/>
    </row>
    <row r="124" spans="2:7" ht="18.75" customHeight="1" x14ac:dyDescent="0.3">
      <c r="B124" s="69" t="s">
        <v>183</v>
      </c>
      <c r="C124" s="104" t="s">
        <v>172</v>
      </c>
      <c r="D124" s="104"/>
      <c r="E124" s="104"/>
      <c r="F124" s="106" t="s">
        <v>10</v>
      </c>
      <c r="G124" s="112"/>
    </row>
    <row r="125" spans="2:7" ht="18.75" customHeight="1" x14ac:dyDescent="0.3">
      <c r="B125" s="69" t="s">
        <v>184</v>
      </c>
      <c r="C125" s="104" t="s">
        <v>173</v>
      </c>
      <c r="D125" s="104"/>
      <c r="E125" s="104"/>
      <c r="F125" s="106" t="s">
        <v>10</v>
      </c>
      <c r="G125" s="112"/>
    </row>
    <row r="126" spans="2:7" ht="18.75" customHeight="1" x14ac:dyDescent="0.3">
      <c r="B126" s="113"/>
      <c r="C126" s="116" t="s">
        <v>129</v>
      </c>
      <c r="D126" s="113"/>
      <c r="E126" s="113"/>
      <c r="F126" s="133"/>
      <c r="G126" s="115"/>
    </row>
    <row r="127" spans="2:7" ht="18.75" customHeight="1" x14ac:dyDescent="0.3">
      <c r="B127" s="69" t="s">
        <v>185</v>
      </c>
      <c r="C127" s="104" t="s">
        <v>130</v>
      </c>
      <c r="D127" s="104"/>
      <c r="E127" s="104"/>
      <c r="F127" s="106" t="s">
        <v>10</v>
      </c>
      <c r="G127" s="112"/>
    </row>
    <row r="128" spans="2:7" ht="18.75" customHeight="1" x14ac:dyDescent="0.3">
      <c r="B128" s="69" t="s">
        <v>186</v>
      </c>
      <c r="C128" s="104" t="s">
        <v>131</v>
      </c>
      <c r="D128" s="104"/>
      <c r="E128" s="104"/>
      <c r="F128" s="106" t="s">
        <v>10</v>
      </c>
      <c r="G128" s="112"/>
    </row>
    <row r="129" spans="2:7" ht="18.75" customHeight="1" x14ac:dyDescent="0.3">
      <c r="B129" s="69" t="s">
        <v>187</v>
      </c>
      <c r="C129" s="104" t="s">
        <v>132</v>
      </c>
      <c r="D129" s="104"/>
      <c r="E129" s="104"/>
      <c r="F129" s="106" t="s">
        <v>10</v>
      </c>
      <c r="G129" s="112"/>
    </row>
    <row r="130" spans="2:7" ht="18.75" customHeight="1" x14ac:dyDescent="0.3">
      <c r="B130" s="69" t="s">
        <v>188</v>
      </c>
      <c r="C130" s="104" t="s">
        <v>133</v>
      </c>
      <c r="D130" s="104"/>
      <c r="E130" s="104"/>
      <c r="F130" s="106" t="s">
        <v>10</v>
      </c>
      <c r="G130" s="112"/>
    </row>
    <row r="131" spans="2:7" ht="18.75" customHeight="1" x14ac:dyDescent="0.3">
      <c r="B131" s="113"/>
      <c r="C131" s="116" t="s">
        <v>134</v>
      </c>
      <c r="D131" s="113"/>
      <c r="E131" s="113"/>
      <c r="F131" s="133"/>
      <c r="G131" s="115"/>
    </row>
    <row r="132" spans="2:7" ht="18.75" customHeight="1" x14ac:dyDescent="0.3">
      <c r="B132" s="69" t="s">
        <v>189</v>
      </c>
      <c r="C132" s="104" t="s">
        <v>135</v>
      </c>
      <c r="D132" s="104"/>
      <c r="E132" s="104"/>
      <c r="F132" s="106" t="s">
        <v>10</v>
      </c>
      <c r="G132" s="112"/>
    </row>
    <row r="133" spans="2:7" ht="18.75" customHeight="1" x14ac:dyDescent="0.3">
      <c r="B133" s="69" t="s">
        <v>190</v>
      </c>
      <c r="C133" s="104" t="s">
        <v>136</v>
      </c>
      <c r="D133" s="104"/>
      <c r="E133" s="104"/>
      <c r="F133" s="106" t="s">
        <v>10</v>
      </c>
      <c r="G133" s="112"/>
    </row>
    <row r="134" spans="2:7" ht="18.75" customHeight="1" x14ac:dyDescent="0.3">
      <c r="B134" s="69" t="s">
        <v>191</v>
      </c>
      <c r="C134" s="104" t="s">
        <v>137</v>
      </c>
      <c r="D134" s="104"/>
      <c r="E134" s="104"/>
      <c r="F134" s="106" t="s">
        <v>10</v>
      </c>
      <c r="G134" s="112"/>
    </row>
    <row r="135" spans="2:7" ht="18.75" customHeight="1" x14ac:dyDescent="0.3">
      <c r="B135" s="113"/>
      <c r="C135" s="116" t="s">
        <v>138</v>
      </c>
      <c r="D135" s="113"/>
      <c r="E135" s="113"/>
      <c r="F135" s="133"/>
      <c r="G135" s="115"/>
    </row>
    <row r="136" spans="2:7" ht="18.75" customHeight="1" x14ac:dyDescent="0.3">
      <c r="B136" s="69" t="s">
        <v>192</v>
      </c>
      <c r="C136" s="105" t="s">
        <v>139</v>
      </c>
      <c r="D136" s="104"/>
      <c r="E136" s="104"/>
      <c r="F136" s="106" t="s">
        <v>10</v>
      </c>
      <c r="G136" s="112"/>
    </row>
    <row r="137" spans="2:7" ht="18.75" customHeight="1" x14ac:dyDescent="0.3">
      <c r="B137" s="69" t="s">
        <v>193</v>
      </c>
      <c r="C137" s="105" t="s">
        <v>140</v>
      </c>
      <c r="D137" s="104"/>
      <c r="E137" s="104"/>
      <c r="F137" s="106" t="s">
        <v>10</v>
      </c>
      <c r="G137" s="112"/>
    </row>
  </sheetData>
  <sheetProtection formatColumns="0"/>
  <dataValidations count="4">
    <dataValidation type="list" allowBlank="1" showInputMessage="1" showErrorMessage="1" errorTitle="DNB" error="Column name cannot be altered. Please click cancel to revert to original column name." promptTitle="DNB" prompt="Column names cannot be altered." sqref="B12">
      <formula1>$B$11</formula1>
    </dataValidation>
    <dataValidation type="list" allowBlank="1" showInputMessage="1" showErrorMessage="1" errorTitle="DNB" error="Column name cannot be altered. Please click cancel to revert to original column name." promptTitle="DNB" prompt="Column names cannot be altered." sqref="C12">
      <formula1>$C$11</formula1>
    </dataValidation>
    <dataValidation type="list" allowBlank="1" showInputMessage="1" showErrorMessage="1" sqref="F95:F104 F106:F107 F109:F112 F114:F116 F118:F125 F127:F130 F132:F134 F136:F137 F14:F92">
      <formula1>"Open, Coding, Testing, Closed"</formula1>
    </dataValidation>
    <dataValidation type="list" allowBlank="1" showInputMessage="1" showErrorMessage="1" sqref="F93">
      <formula1>"Open, Closed"</formula1>
    </dataValidation>
  </dataValidations>
  <printOptions horizontalCentered="1"/>
  <pageMargins left="0.4" right="0.4" top="0.4" bottom="0.4" header="0.3" footer="0.3"/>
  <pageSetup fitToHeight="0" orientation="landscape" r:id="rId1"/>
  <headerFooter differentFirst="1">
    <oddFooter>Page &amp;P of &amp;N</oddFooter>
  </headerFooter>
  <ignoredErrors>
    <ignoredError sqref="B83 B79:B81 B86 B14:B15 B57:B60 B67:B70 B77:B78 B61:B62 B72 B71 B87:B88" unlockedFormula="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workbookViewId="0">
      <selection activeCell="B3" sqref="B3"/>
    </sheetView>
  </sheetViews>
  <sheetFormatPr defaultRowHeight="13.8" x14ac:dyDescent="0.3"/>
  <cols>
    <col min="1" max="1" width="1.5546875" style="175" customWidth="1"/>
    <col min="2" max="2" width="42" customWidth="1"/>
  </cols>
  <sheetData>
    <row r="1" spans="2:2" ht="19.5" customHeight="1" x14ac:dyDescent="0.3">
      <c r="B1" s="4" t="s">
        <v>23</v>
      </c>
    </row>
    <row r="2" spans="2:2" ht="15" customHeight="1" x14ac:dyDescent="0.3">
      <c r="B2" s="5" t="s">
        <v>24</v>
      </c>
    </row>
    <row r="3" spans="2:2" ht="15" customHeight="1" x14ac:dyDescent="0.3">
      <c r="B3" s="5"/>
    </row>
    <row r="4" spans="2:2" ht="15" customHeight="1" x14ac:dyDescent="0.3">
      <c r="B4" s="5"/>
    </row>
    <row r="5" spans="2:2" ht="15" customHeight="1" x14ac:dyDescent="0.3">
      <c r="B5" s="5"/>
    </row>
    <row r="6" spans="2:2" ht="15" customHeight="1" x14ac:dyDescent="0.3">
      <c r="B6" s="5"/>
    </row>
    <row r="7" spans="2:2" ht="15" customHeight="1" x14ac:dyDescent="0.3">
      <c r="B7" s="5"/>
    </row>
    <row r="8" spans="2:2" ht="15" customHeight="1" x14ac:dyDescent="0.3">
      <c r="B8" s="5"/>
    </row>
    <row r="9" spans="2:2" ht="15" customHeight="1" x14ac:dyDescent="0.3">
      <c r="B9" s="5"/>
    </row>
    <row r="10" spans="2:2" ht="15" customHeight="1" x14ac:dyDescent="0.3">
      <c r="B10" s="5"/>
    </row>
    <row r="11" spans="2:2" ht="15" customHeight="1" x14ac:dyDescent="0.3">
      <c r="B11" s="5"/>
    </row>
    <row r="12" spans="2:2" ht="15" customHeight="1" x14ac:dyDescent="0.3">
      <c r="B12" s="5"/>
    </row>
    <row r="13" spans="2:2" ht="15" customHeight="1" x14ac:dyDescent="0.3">
      <c r="B13" s="5"/>
    </row>
    <row r="14" spans="2:2" ht="15" customHeight="1" x14ac:dyDescent="0.3">
      <c r="B14" s="5"/>
    </row>
    <row r="15" spans="2:2" ht="15" customHeight="1" x14ac:dyDescent="0.3">
      <c r="B15" s="5"/>
    </row>
    <row r="16" spans="2:2" ht="15" customHeight="1" x14ac:dyDescent="0.3">
      <c r="B16" s="5"/>
    </row>
    <row r="17" spans="2:2" ht="15" customHeight="1" x14ac:dyDescent="0.3">
      <c r="B17" s="5"/>
    </row>
    <row r="18" spans="2:2" ht="15" customHeight="1" x14ac:dyDescent="0.3">
      <c r="B18" s="5"/>
    </row>
    <row r="19" spans="2:2" ht="15" customHeight="1" x14ac:dyDescent="0.3">
      <c r="B19" s="5"/>
    </row>
    <row r="20" spans="2:2" ht="15" customHeight="1" x14ac:dyDescent="0.3">
      <c r="B20" s="5"/>
    </row>
    <row r="21" spans="2:2" ht="15" customHeight="1" x14ac:dyDescent="0.3"/>
    <row r="22" spans="2:2" ht="15" customHeight="1" x14ac:dyDescent="0.3"/>
    <row r="23" spans="2:2" ht="15" customHeight="1" x14ac:dyDescent="0.3"/>
    <row r="24" spans="2:2" ht="15" customHeight="1" x14ac:dyDescent="0.3"/>
    <row r="25" spans="2:2" ht="15" customHeight="1" x14ac:dyDescent="0.3"/>
    <row r="26" spans="2:2" ht="15" customHeight="1" x14ac:dyDescent="0.3"/>
    <row r="27" spans="2:2" ht="15" customHeight="1" x14ac:dyDescent="0.3"/>
    <row r="28" spans="2:2" ht="15" customHeight="1" x14ac:dyDescent="0.3"/>
    <row r="29" spans="2:2" ht="15" customHeight="1" x14ac:dyDescent="0.3"/>
    <row r="30" spans="2:2" ht="15" customHeight="1" x14ac:dyDescent="0.3"/>
    <row r="31" spans="2:2" ht="15" customHeight="1" x14ac:dyDescent="0.3"/>
    <row r="32" spans="2: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sheetData>
  <mergeCells count="1">
    <mergeCell ref="A1:A104857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3.8" x14ac:dyDescent="0.3"/>
  <cols>
    <col min="2" max="2" width="63.6640625" customWidth="1"/>
  </cols>
  <sheetData>
    <row r="1" spans="1:2" ht="22.5" customHeight="1" x14ac:dyDescent="0.3">
      <c r="A1" s="1" t="s">
        <v>10</v>
      </c>
      <c r="B1" s="2" t="s">
        <v>12</v>
      </c>
    </row>
    <row r="2" spans="1:2" ht="22.5" customHeight="1" x14ac:dyDescent="0.3">
      <c r="A2" s="3" t="s">
        <v>11</v>
      </c>
      <c r="B2" s="2"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7:X54"/>
  <sheetViews>
    <sheetView topLeftCell="A16" workbookViewId="0">
      <selection activeCell="N17" sqref="N17"/>
    </sheetView>
  </sheetViews>
  <sheetFormatPr defaultRowHeight="15.6" x14ac:dyDescent="0.3"/>
  <cols>
    <col min="1" max="1" width="8.88671875" style="139"/>
    <col min="2" max="2" width="19.88671875" style="139" bestFit="1" customWidth="1"/>
    <col min="3" max="3" width="22.6640625" style="139" bestFit="1" customWidth="1"/>
    <col min="4" max="5" width="8.88671875" style="139"/>
    <col min="6" max="6" width="14.6640625" style="139" bestFit="1" customWidth="1"/>
    <col min="7" max="7" width="18.33203125" style="139" bestFit="1" customWidth="1"/>
    <col min="8" max="8" width="34.6640625" style="139" bestFit="1" customWidth="1"/>
    <col min="9" max="9" width="12.44140625" style="139" bestFit="1" customWidth="1"/>
    <col min="10" max="10" width="8.88671875" style="139"/>
    <col min="11" max="11" width="31.6640625" style="139" bestFit="1" customWidth="1"/>
    <col min="12" max="12" width="12.44140625" style="139" customWidth="1"/>
    <col min="13" max="13" width="11.109375" style="139" bestFit="1" customWidth="1"/>
    <col min="14" max="14" width="27.33203125" style="139" bestFit="1" customWidth="1"/>
    <col min="15" max="15" width="33.44140625" style="139" bestFit="1" customWidth="1"/>
    <col min="16" max="16" width="7.109375" style="139" customWidth="1"/>
    <col min="17" max="18" width="8.88671875" style="139"/>
    <col min="19" max="19" width="12.5546875" style="139" bestFit="1" customWidth="1"/>
    <col min="20" max="20" width="17.6640625" style="139" bestFit="1" customWidth="1"/>
    <col min="21" max="21" width="25.5546875" style="139" bestFit="1" customWidth="1"/>
    <col min="22" max="22" width="25.5546875" style="139" customWidth="1"/>
    <col min="23" max="23" width="12" style="139" bestFit="1" customWidth="1"/>
    <col min="24" max="24" width="23.33203125" style="139" bestFit="1" customWidth="1"/>
    <col min="25" max="16384" width="8.88671875" style="139"/>
  </cols>
  <sheetData>
    <row r="7" spans="2:24" x14ac:dyDescent="0.3">
      <c r="B7" s="176" t="s">
        <v>42</v>
      </c>
      <c r="C7" s="176"/>
      <c r="G7" s="176" t="s">
        <v>43</v>
      </c>
      <c r="H7" s="176"/>
      <c r="J7" s="176" t="s">
        <v>379</v>
      </c>
      <c r="K7" s="176"/>
      <c r="M7" s="176" t="s">
        <v>380</v>
      </c>
      <c r="N7" s="176"/>
      <c r="O7" s="176"/>
      <c r="P7" s="146"/>
      <c r="Q7" s="145" t="s">
        <v>41</v>
      </c>
      <c r="T7" s="176" t="s">
        <v>43</v>
      </c>
      <c r="U7" s="176"/>
      <c r="V7" s="174"/>
      <c r="X7" s="145" t="s">
        <v>44</v>
      </c>
    </row>
    <row r="8" spans="2:24" x14ac:dyDescent="0.3">
      <c r="B8" s="139" t="s">
        <v>309</v>
      </c>
      <c r="G8" s="139" t="s">
        <v>37</v>
      </c>
      <c r="J8" s="139" t="s">
        <v>287</v>
      </c>
      <c r="T8" s="139" t="s">
        <v>244</v>
      </c>
      <c r="X8" s="139" t="s">
        <v>285</v>
      </c>
    </row>
    <row r="9" spans="2:24" x14ac:dyDescent="0.3">
      <c r="B9" s="139" t="s">
        <v>239</v>
      </c>
      <c r="G9" s="139" t="s">
        <v>38</v>
      </c>
      <c r="K9" s="139" t="s">
        <v>59</v>
      </c>
      <c r="M9" s="139" t="s">
        <v>296</v>
      </c>
      <c r="U9" s="139" t="s">
        <v>245</v>
      </c>
      <c r="X9" s="139" t="s">
        <v>286</v>
      </c>
    </row>
    <row r="10" spans="2:24" x14ac:dyDescent="0.3">
      <c r="C10" s="139" t="s">
        <v>310</v>
      </c>
      <c r="G10" s="139" t="s">
        <v>111</v>
      </c>
      <c r="K10" s="139" t="s">
        <v>288</v>
      </c>
      <c r="N10" s="139" t="s">
        <v>297</v>
      </c>
      <c r="U10" s="139" t="s">
        <v>362</v>
      </c>
    </row>
    <row r="11" spans="2:24" x14ac:dyDescent="0.3">
      <c r="C11" s="139" t="s">
        <v>311</v>
      </c>
      <c r="G11" s="139" t="s">
        <v>273</v>
      </c>
      <c r="H11" s="139" t="s">
        <v>360</v>
      </c>
      <c r="J11" s="139" t="s">
        <v>289</v>
      </c>
      <c r="N11" s="139" t="s">
        <v>298</v>
      </c>
      <c r="V11" s="139" t="s">
        <v>247</v>
      </c>
    </row>
    <row r="12" spans="2:24" x14ac:dyDescent="0.3">
      <c r="C12" s="139" t="s">
        <v>312</v>
      </c>
      <c r="H12" s="139" t="s">
        <v>361</v>
      </c>
      <c r="K12" s="139" t="s">
        <v>89</v>
      </c>
      <c r="M12" s="139" t="s">
        <v>299</v>
      </c>
      <c r="V12" s="139" t="s">
        <v>363</v>
      </c>
    </row>
    <row r="13" spans="2:24" x14ac:dyDescent="0.3">
      <c r="B13" s="139" t="s">
        <v>313</v>
      </c>
      <c r="H13" s="48" t="s">
        <v>345</v>
      </c>
      <c r="K13" s="139" t="s">
        <v>290</v>
      </c>
      <c r="N13" s="139" t="s">
        <v>49</v>
      </c>
      <c r="V13" s="139" t="s">
        <v>364</v>
      </c>
    </row>
    <row r="14" spans="2:24" x14ac:dyDescent="0.3">
      <c r="C14" s="139" t="s">
        <v>313</v>
      </c>
      <c r="H14" s="143" t="s">
        <v>281</v>
      </c>
      <c r="K14" s="139" t="s">
        <v>291</v>
      </c>
      <c r="N14" s="139" t="s">
        <v>107</v>
      </c>
      <c r="V14" s="139" t="s">
        <v>365</v>
      </c>
    </row>
    <row r="15" spans="2:24" x14ac:dyDescent="0.3">
      <c r="C15" s="139" t="s">
        <v>314</v>
      </c>
      <c r="H15" s="48" t="s">
        <v>282</v>
      </c>
      <c r="J15" s="139" t="s">
        <v>293</v>
      </c>
      <c r="N15" s="139" t="s">
        <v>108</v>
      </c>
      <c r="V15" s="139" t="s">
        <v>366</v>
      </c>
    </row>
    <row r="16" spans="2:24" x14ac:dyDescent="0.3">
      <c r="C16" s="139" t="s">
        <v>315</v>
      </c>
      <c r="H16" s="48" t="s">
        <v>284</v>
      </c>
      <c r="J16" s="139" t="s">
        <v>292</v>
      </c>
      <c r="N16" s="139" t="s">
        <v>50</v>
      </c>
      <c r="V16" s="139" t="s">
        <v>367</v>
      </c>
    </row>
    <row r="17" spans="2:22" x14ac:dyDescent="0.3">
      <c r="C17" s="139" t="s">
        <v>316</v>
      </c>
      <c r="H17" s="48" t="s">
        <v>283</v>
      </c>
      <c r="K17" s="139" t="s">
        <v>60</v>
      </c>
      <c r="N17" s="139" t="s">
        <v>51</v>
      </c>
      <c r="U17" s="139" t="s">
        <v>368</v>
      </c>
    </row>
    <row r="18" spans="2:22" x14ac:dyDescent="0.3">
      <c r="C18" s="139" t="s">
        <v>317</v>
      </c>
      <c r="H18" s="142" t="s">
        <v>116</v>
      </c>
      <c r="K18" s="139" t="s">
        <v>61</v>
      </c>
      <c r="N18" s="139" t="s">
        <v>52</v>
      </c>
      <c r="V18" s="139" t="s">
        <v>248</v>
      </c>
    </row>
    <row r="19" spans="2:22" x14ac:dyDescent="0.3">
      <c r="B19" s="139" t="s">
        <v>318</v>
      </c>
      <c r="H19" s="48" t="s">
        <v>117</v>
      </c>
      <c r="K19" s="139" t="s">
        <v>62</v>
      </c>
      <c r="N19" s="139" t="s">
        <v>300</v>
      </c>
      <c r="V19" s="139" t="s">
        <v>249</v>
      </c>
    </row>
    <row r="20" spans="2:22" x14ac:dyDescent="0.3">
      <c r="B20" s="139" t="s">
        <v>319</v>
      </c>
      <c r="G20" s="139" t="s">
        <v>15</v>
      </c>
      <c r="H20" s="139" t="s">
        <v>278</v>
      </c>
      <c r="K20" s="139" t="s">
        <v>105</v>
      </c>
      <c r="M20" s="139" t="s">
        <v>23</v>
      </c>
      <c r="V20" s="139" t="s">
        <v>250</v>
      </c>
    </row>
    <row r="21" spans="2:22" x14ac:dyDescent="0.3">
      <c r="C21" s="139" t="s">
        <v>243</v>
      </c>
      <c r="H21" s="139" t="s">
        <v>279</v>
      </c>
      <c r="K21" s="139" t="s">
        <v>294</v>
      </c>
      <c r="N21" s="139" t="s">
        <v>47</v>
      </c>
      <c r="V21" s="139" t="s">
        <v>369</v>
      </c>
    </row>
    <row r="22" spans="2:22" x14ac:dyDescent="0.3">
      <c r="C22" s="139" t="s">
        <v>320</v>
      </c>
      <c r="G22" s="139" t="s">
        <v>272</v>
      </c>
      <c r="H22" s="139" t="s">
        <v>280</v>
      </c>
      <c r="K22" s="139" t="s">
        <v>295</v>
      </c>
      <c r="N22" s="139" t="s">
        <v>301</v>
      </c>
      <c r="U22" s="139" t="s">
        <v>251</v>
      </c>
    </row>
    <row r="23" spans="2:22" x14ac:dyDescent="0.3">
      <c r="C23" s="139" t="s">
        <v>319</v>
      </c>
      <c r="H23" s="139" t="s">
        <v>274</v>
      </c>
      <c r="N23" s="139" t="s">
        <v>48</v>
      </c>
      <c r="U23" s="139" t="s">
        <v>252</v>
      </c>
    </row>
    <row r="24" spans="2:22" x14ac:dyDescent="0.3">
      <c r="C24" s="139" t="s">
        <v>248</v>
      </c>
      <c r="H24" s="139" t="s">
        <v>275</v>
      </c>
      <c r="M24" s="139" t="s">
        <v>302</v>
      </c>
      <c r="U24" s="139" t="s">
        <v>253</v>
      </c>
    </row>
    <row r="25" spans="2:22" x14ac:dyDescent="0.3">
      <c r="C25" s="139" t="s">
        <v>250</v>
      </c>
      <c r="H25" s="139" t="s">
        <v>276</v>
      </c>
      <c r="N25" s="139" t="s">
        <v>303</v>
      </c>
      <c r="T25" s="139" t="s">
        <v>254</v>
      </c>
    </row>
    <row r="26" spans="2:22" x14ac:dyDescent="0.3">
      <c r="C26" s="139" t="s">
        <v>249</v>
      </c>
      <c r="H26" s="139" t="s">
        <v>277</v>
      </c>
      <c r="N26" s="139" t="s">
        <v>304</v>
      </c>
      <c r="U26" s="139" t="s">
        <v>255</v>
      </c>
    </row>
    <row r="27" spans="2:22" x14ac:dyDescent="0.3">
      <c r="C27" s="139" t="s">
        <v>321</v>
      </c>
      <c r="M27" s="139" t="s">
        <v>292</v>
      </c>
      <c r="U27" s="139" t="s">
        <v>256</v>
      </c>
    </row>
    <row r="28" spans="2:22" x14ac:dyDescent="0.3">
      <c r="C28" s="139" t="s">
        <v>322</v>
      </c>
      <c r="N28" s="139" t="s">
        <v>305</v>
      </c>
      <c r="U28" s="139" t="s">
        <v>257</v>
      </c>
    </row>
    <row r="29" spans="2:22" x14ac:dyDescent="0.3">
      <c r="C29" s="139" t="s">
        <v>323</v>
      </c>
      <c r="O29" s="139" t="s">
        <v>54</v>
      </c>
      <c r="U29" s="139" t="s">
        <v>258</v>
      </c>
    </row>
    <row r="30" spans="2:22" x14ac:dyDescent="0.3">
      <c r="C30" s="139" t="s">
        <v>324</v>
      </c>
      <c r="O30" s="139" t="s">
        <v>55</v>
      </c>
      <c r="U30" s="139" t="s">
        <v>259</v>
      </c>
    </row>
    <row r="31" spans="2:22" x14ac:dyDescent="0.3">
      <c r="C31" s="139" t="s">
        <v>325</v>
      </c>
      <c r="N31" s="139" t="s">
        <v>306</v>
      </c>
      <c r="T31" s="139" t="s">
        <v>260</v>
      </c>
    </row>
    <row r="32" spans="2:22" x14ac:dyDescent="0.3">
      <c r="B32" s="139" t="s">
        <v>326</v>
      </c>
      <c r="O32" s="139" t="s">
        <v>56</v>
      </c>
      <c r="U32" s="139" t="s">
        <v>355</v>
      </c>
    </row>
    <row r="33" spans="2:21" x14ac:dyDescent="0.3">
      <c r="C33" s="139" t="s">
        <v>327</v>
      </c>
      <c r="O33" s="139" t="s">
        <v>102</v>
      </c>
      <c r="U33" s="139" t="s">
        <v>261</v>
      </c>
    </row>
    <row r="34" spans="2:21" x14ac:dyDescent="0.3">
      <c r="C34" s="139" t="s">
        <v>125</v>
      </c>
      <c r="O34" s="139" t="s">
        <v>57</v>
      </c>
      <c r="U34" s="139" t="s">
        <v>262</v>
      </c>
    </row>
    <row r="35" spans="2:21" x14ac:dyDescent="0.3">
      <c r="C35" s="139" t="s">
        <v>328</v>
      </c>
      <c r="O35" s="139" t="s">
        <v>58</v>
      </c>
      <c r="U35" s="139" t="s">
        <v>263</v>
      </c>
    </row>
    <row r="36" spans="2:21" x14ac:dyDescent="0.3">
      <c r="C36" s="139" t="s">
        <v>329</v>
      </c>
      <c r="N36" s="170" t="s">
        <v>307</v>
      </c>
      <c r="O36" s="170"/>
      <c r="U36" s="139" t="s">
        <v>264</v>
      </c>
    </row>
    <row r="37" spans="2:21" x14ac:dyDescent="0.3">
      <c r="C37" s="139" t="s">
        <v>330</v>
      </c>
      <c r="N37" s="170"/>
      <c r="O37" s="170" t="s">
        <v>308</v>
      </c>
      <c r="U37" s="139" t="s">
        <v>265</v>
      </c>
    </row>
    <row r="38" spans="2:21" x14ac:dyDescent="0.3">
      <c r="C38" s="139" t="s">
        <v>331</v>
      </c>
      <c r="N38" s="170"/>
      <c r="O38" s="170" t="s">
        <v>100</v>
      </c>
      <c r="U38" s="139" t="s">
        <v>266</v>
      </c>
    </row>
    <row r="39" spans="2:21" x14ac:dyDescent="0.3">
      <c r="B39" s="139" t="s">
        <v>332</v>
      </c>
      <c r="N39" s="170"/>
      <c r="O39" s="170" t="s">
        <v>103</v>
      </c>
      <c r="U39" s="139" t="s">
        <v>370</v>
      </c>
    </row>
    <row r="40" spans="2:21" x14ac:dyDescent="0.3">
      <c r="C40" s="139" t="s">
        <v>333</v>
      </c>
      <c r="N40" s="170"/>
      <c r="O40" s="170"/>
      <c r="T40" s="139" t="s">
        <v>267</v>
      </c>
    </row>
    <row r="41" spans="2:21" x14ac:dyDescent="0.3">
      <c r="C41" s="139" t="s">
        <v>332</v>
      </c>
      <c r="U41" s="139" t="s">
        <v>63</v>
      </c>
    </row>
    <row r="42" spans="2:21" x14ac:dyDescent="0.3">
      <c r="C42" s="139" t="s">
        <v>334</v>
      </c>
      <c r="U42" s="139" t="s">
        <v>268</v>
      </c>
    </row>
    <row r="43" spans="2:21" x14ac:dyDescent="0.3">
      <c r="U43" s="139" t="s">
        <v>269</v>
      </c>
    </row>
    <row r="44" spans="2:21" x14ac:dyDescent="0.3">
      <c r="U44" s="139" t="s">
        <v>270</v>
      </c>
    </row>
    <row r="45" spans="2:21" x14ac:dyDescent="0.3">
      <c r="T45" s="139" t="s">
        <v>106</v>
      </c>
    </row>
    <row r="46" spans="2:21" x14ac:dyDescent="0.3">
      <c r="U46" s="139" t="s">
        <v>65</v>
      </c>
    </row>
    <row r="47" spans="2:21" x14ac:dyDescent="0.3">
      <c r="U47" s="139" t="s">
        <v>356</v>
      </c>
    </row>
    <row r="48" spans="2:21" x14ac:dyDescent="0.3">
      <c r="U48" s="139" t="s">
        <v>357</v>
      </c>
    </row>
    <row r="49" spans="20:21" x14ac:dyDescent="0.3">
      <c r="U49" s="139" t="s">
        <v>358</v>
      </c>
    </row>
    <row r="50" spans="20:21" x14ac:dyDescent="0.3">
      <c r="U50" s="139" t="s">
        <v>359</v>
      </c>
    </row>
    <row r="51" spans="20:21" x14ac:dyDescent="0.3">
      <c r="T51" s="139" t="s">
        <v>104</v>
      </c>
    </row>
    <row r="52" spans="20:21" x14ac:dyDescent="0.3">
      <c r="U52" s="139" t="s">
        <v>66</v>
      </c>
    </row>
    <row r="53" spans="20:21" x14ac:dyDescent="0.3">
      <c r="U53" s="139" t="s">
        <v>67</v>
      </c>
    </row>
    <row r="54" spans="20:21" x14ac:dyDescent="0.3">
      <c r="U54" s="139" t="s">
        <v>271</v>
      </c>
    </row>
  </sheetData>
  <mergeCells count="5">
    <mergeCell ref="M7:O7"/>
    <mergeCell ref="J7:K7"/>
    <mergeCell ref="G7:H7"/>
    <mergeCell ref="B7:C7"/>
    <mergeCell ref="T7:U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opLeftCell="A10" workbookViewId="0">
      <selection sqref="A1:B12"/>
    </sheetView>
  </sheetViews>
  <sheetFormatPr defaultRowHeight="15.6" x14ac:dyDescent="0.3"/>
  <cols>
    <col min="1" max="1" width="4.88671875" style="27" bestFit="1" customWidth="1"/>
    <col min="2" max="2" width="40.44140625" style="27" bestFit="1" customWidth="1"/>
    <col min="3" max="3" width="11" style="27" bestFit="1" customWidth="1"/>
    <col min="4" max="4" width="84.5546875" style="27" bestFit="1" customWidth="1"/>
    <col min="5" max="9" width="8.88671875" style="27"/>
    <col min="10" max="10" width="8.88671875" style="33"/>
    <col min="11" max="11" width="33.44140625" style="27" bestFit="1" customWidth="1"/>
    <col min="12" max="12" width="11" style="27" bestFit="1" customWidth="1"/>
    <col min="13" max="13" width="141.44140625" style="27" bestFit="1" customWidth="1"/>
    <col min="14" max="16384" width="8.88671875" style="27"/>
  </cols>
  <sheetData>
    <row r="1" spans="1:13" s="28" customFormat="1" x14ac:dyDescent="0.3">
      <c r="A1" s="29" t="s">
        <v>90</v>
      </c>
      <c r="B1" s="29" t="s">
        <v>91</v>
      </c>
      <c r="C1" s="120" t="s">
        <v>92</v>
      </c>
      <c r="D1" s="29" t="s">
        <v>194</v>
      </c>
      <c r="J1" s="29" t="s">
        <v>90</v>
      </c>
      <c r="K1" s="29" t="s">
        <v>93</v>
      </c>
      <c r="L1" s="29" t="s">
        <v>92</v>
      </c>
      <c r="M1" s="28" t="s">
        <v>194</v>
      </c>
    </row>
    <row r="2" spans="1:13" x14ac:dyDescent="0.3">
      <c r="A2" s="32">
        <v>1</v>
      </c>
      <c r="B2" s="30" t="s">
        <v>37</v>
      </c>
      <c r="C2" s="177" t="s">
        <v>98</v>
      </c>
      <c r="D2" s="30" t="s">
        <v>196</v>
      </c>
      <c r="J2" s="31">
        <v>1</v>
      </c>
      <c r="K2" s="30" t="s">
        <v>94</v>
      </c>
      <c r="L2" s="177" t="s">
        <v>98</v>
      </c>
    </row>
    <row r="3" spans="1:13" x14ac:dyDescent="0.3">
      <c r="A3" s="32">
        <v>2</v>
      </c>
      <c r="B3" s="30" t="s">
        <v>38</v>
      </c>
      <c r="C3" s="178"/>
      <c r="D3" s="30" t="s">
        <v>195</v>
      </c>
      <c r="J3" s="31">
        <v>2</v>
      </c>
      <c r="K3" s="30" t="s">
        <v>95</v>
      </c>
      <c r="L3" s="178"/>
    </row>
    <row r="4" spans="1:13" x14ac:dyDescent="0.3">
      <c r="A4" s="32">
        <v>3</v>
      </c>
      <c r="B4" s="30" t="s">
        <v>111</v>
      </c>
      <c r="C4" s="178"/>
      <c r="D4" s="30" t="s">
        <v>197</v>
      </c>
      <c r="J4" s="31">
        <v>3</v>
      </c>
      <c r="K4" s="30" t="s">
        <v>96</v>
      </c>
      <c r="L4" s="178"/>
      <c r="M4" s="27" t="s">
        <v>223</v>
      </c>
    </row>
    <row r="5" spans="1:13" x14ac:dyDescent="0.3">
      <c r="A5" s="32">
        <v>4</v>
      </c>
      <c r="B5" s="30" t="s">
        <v>280</v>
      </c>
      <c r="C5" s="178"/>
      <c r="D5" s="30" t="s">
        <v>339</v>
      </c>
      <c r="J5" s="31">
        <v>4</v>
      </c>
      <c r="K5" s="30" t="s">
        <v>97</v>
      </c>
      <c r="L5" s="179"/>
    </row>
    <row r="6" spans="1:13" x14ac:dyDescent="0.3">
      <c r="A6" s="32">
        <v>5</v>
      </c>
      <c r="B6" s="30" t="s">
        <v>343</v>
      </c>
      <c r="C6" s="178"/>
      <c r="D6" s="30" t="s">
        <v>344</v>
      </c>
      <c r="J6" s="34"/>
      <c r="K6" s="35"/>
      <c r="L6" s="35"/>
    </row>
    <row r="7" spans="1:13" x14ac:dyDescent="0.3">
      <c r="A7" s="32">
        <v>6</v>
      </c>
      <c r="B7" s="30" t="s">
        <v>112</v>
      </c>
      <c r="C7" s="178"/>
      <c r="D7" s="30" t="s">
        <v>218</v>
      </c>
      <c r="J7" s="31">
        <v>1</v>
      </c>
      <c r="K7" s="36" t="s">
        <v>54</v>
      </c>
      <c r="L7" s="177" t="s">
        <v>104</v>
      </c>
      <c r="M7" s="27" t="s">
        <v>198</v>
      </c>
    </row>
    <row r="8" spans="1:13" x14ac:dyDescent="0.3">
      <c r="A8" s="32">
        <v>7</v>
      </c>
      <c r="B8" s="30" t="s">
        <v>113</v>
      </c>
      <c r="C8" s="178"/>
      <c r="D8" s="30" t="s">
        <v>219</v>
      </c>
      <c r="J8" s="31">
        <v>2</v>
      </c>
      <c r="K8" s="36" t="s">
        <v>99</v>
      </c>
      <c r="L8" s="178"/>
      <c r="M8" s="27" t="s">
        <v>202</v>
      </c>
    </row>
    <row r="9" spans="1:13" x14ac:dyDescent="0.3">
      <c r="A9" s="32">
        <v>8</v>
      </c>
      <c r="B9" s="30" t="s">
        <v>117</v>
      </c>
      <c r="C9" s="178"/>
      <c r="D9" s="30" t="s">
        <v>338</v>
      </c>
      <c r="J9" s="31">
        <v>3</v>
      </c>
      <c r="K9" s="36" t="s">
        <v>100</v>
      </c>
      <c r="L9" s="178"/>
      <c r="M9" s="27" t="s">
        <v>224</v>
      </c>
    </row>
    <row r="10" spans="1:13" x14ac:dyDescent="0.3">
      <c r="A10" s="32">
        <v>9</v>
      </c>
      <c r="B10" s="30" t="s">
        <v>284</v>
      </c>
      <c r="C10" s="178"/>
      <c r="D10" s="30" t="s">
        <v>340</v>
      </c>
      <c r="J10" s="31">
        <v>4</v>
      </c>
      <c r="K10" s="36" t="s">
        <v>101</v>
      </c>
      <c r="L10" s="178"/>
      <c r="M10" s="27" t="s">
        <v>200</v>
      </c>
    </row>
    <row r="11" spans="1:13" x14ac:dyDescent="0.3">
      <c r="A11" s="32">
        <v>10</v>
      </c>
      <c r="B11" s="30" t="s">
        <v>283</v>
      </c>
      <c r="C11" s="178"/>
      <c r="D11" s="30" t="s">
        <v>341</v>
      </c>
      <c r="J11" s="31">
        <v>5</v>
      </c>
      <c r="K11" s="36" t="s">
        <v>102</v>
      </c>
      <c r="L11" s="178"/>
      <c r="M11" s="27" t="s">
        <v>199</v>
      </c>
    </row>
    <row r="12" spans="1:13" x14ac:dyDescent="0.3">
      <c r="A12" s="32">
        <v>11</v>
      </c>
      <c r="B12" s="30" t="s">
        <v>116</v>
      </c>
      <c r="C12" s="179"/>
      <c r="D12" s="30" t="s">
        <v>342</v>
      </c>
      <c r="J12" s="31">
        <v>6</v>
      </c>
      <c r="K12" s="36" t="s">
        <v>57</v>
      </c>
      <c r="L12" s="178"/>
      <c r="M12" s="27" t="s">
        <v>201</v>
      </c>
    </row>
    <row r="13" spans="1:13" x14ac:dyDescent="0.3">
      <c r="A13" s="34"/>
      <c r="B13" s="35"/>
      <c r="C13" s="121"/>
      <c r="D13" s="35"/>
      <c r="J13" s="31"/>
      <c r="K13" s="30"/>
      <c r="L13" s="30"/>
    </row>
    <row r="14" spans="1:13" x14ac:dyDescent="0.3">
      <c r="A14" s="38">
        <v>1</v>
      </c>
      <c r="B14" s="36" t="s">
        <v>49</v>
      </c>
      <c r="C14" s="177" t="s">
        <v>104</v>
      </c>
      <c r="D14" s="30" t="s">
        <v>203</v>
      </c>
      <c r="J14" s="31"/>
      <c r="K14" s="30"/>
      <c r="L14" s="30"/>
    </row>
    <row r="15" spans="1:13" x14ac:dyDescent="0.3">
      <c r="A15" s="38">
        <v>2</v>
      </c>
      <c r="B15" s="36" t="s">
        <v>107</v>
      </c>
      <c r="C15" s="178"/>
      <c r="D15" s="30" t="s">
        <v>204</v>
      </c>
      <c r="J15" s="31"/>
      <c r="K15" s="30"/>
      <c r="L15" s="30"/>
    </row>
    <row r="16" spans="1:13" x14ac:dyDescent="0.3">
      <c r="A16" s="38">
        <v>3</v>
      </c>
      <c r="B16" s="36" t="s">
        <v>108</v>
      </c>
      <c r="C16" s="178"/>
      <c r="D16" s="30" t="s">
        <v>206</v>
      </c>
      <c r="J16" s="31"/>
      <c r="K16" s="30"/>
      <c r="L16" s="30"/>
    </row>
    <row r="17" spans="1:12" x14ac:dyDescent="0.3">
      <c r="A17" s="38">
        <v>4</v>
      </c>
      <c r="B17" s="36" t="s">
        <v>50</v>
      </c>
      <c r="C17" s="178"/>
      <c r="D17" s="30" t="s">
        <v>205</v>
      </c>
      <c r="J17" s="31"/>
      <c r="K17" s="30"/>
      <c r="L17" s="30"/>
    </row>
    <row r="18" spans="1:12" x14ac:dyDescent="0.3">
      <c r="A18" s="38">
        <v>5</v>
      </c>
      <c r="B18" s="36" t="s">
        <v>51</v>
      </c>
      <c r="C18" s="178"/>
      <c r="D18" s="30" t="s">
        <v>207</v>
      </c>
      <c r="J18" s="31"/>
      <c r="K18" s="30"/>
      <c r="L18" s="30"/>
    </row>
    <row r="19" spans="1:12" x14ac:dyDescent="0.3">
      <c r="A19" s="37">
        <v>6</v>
      </c>
      <c r="B19" s="36" t="s">
        <v>114</v>
      </c>
      <c r="C19" s="178"/>
      <c r="D19" s="30" t="s">
        <v>215</v>
      </c>
      <c r="J19" s="31"/>
      <c r="K19" s="30"/>
      <c r="L19" s="30"/>
    </row>
    <row r="20" spans="1:12" x14ac:dyDescent="0.3">
      <c r="A20" s="37">
        <v>7</v>
      </c>
      <c r="B20" s="36" t="s">
        <v>115</v>
      </c>
      <c r="C20" s="178"/>
      <c r="D20" s="30" t="s">
        <v>216</v>
      </c>
      <c r="J20" s="31"/>
      <c r="K20" s="30"/>
      <c r="L20" s="30"/>
    </row>
    <row r="21" spans="1:12" x14ac:dyDescent="0.3">
      <c r="A21" s="37">
        <v>8</v>
      </c>
      <c r="B21" s="40" t="s">
        <v>116</v>
      </c>
      <c r="C21" s="179"/>
      <c r="D21" s="30" t="s">
        <v>217</v>
      </c>
    </row>
    <row r="22" spans="1:12" x14ac:dyDescent="0.3">
      <c r="A22" s="32"/>
      <c r="B22" s="36"/>
      <c r="D22" s="30"/>
    </row>
    <row r="23" spans="1:12" x14ac:dyDescent="0.3">
      <c r="A23" s="35"/>
      <c r="B23" s="41"/>
      <c r="C23" s="122"/>
      <c r="D23" s="30"/>
    </row>
    <row r="24" spans="1:12" x14ac:dyDescent="0.3">
      <c r="A24" s="31">
        <v>1</v>
      </c>
      <c r="B24" s="36" t="s">
        <v>59</v>
      </c>
      <c r="C24" s="177" t="s">
        <v>106</v>
      </c>
      <c r="D24" s="30" t="s">
        <v>208</v>
      </c>
    </row>
    <row r="25" spans="1:12" x14ac:dyDescent="0.3">
      <c r="A25" s="31">
        <v>2</v>
      </c>
      <c r="B25" s="36" t="s">
        <v>89</v>
      </c>
      <c r="C25" s="178"/>
      <c r="D25" s="30" t="s">
        <v>209</v>
      </c>
    </row>
    <row r="26" spans="1:12" x14ac:dyDescent="0.3">
      <c r="A26" s="31">
        <v>3</v>
      </c>
      <c r="B26" s="36" t="s">
        <v>109</v>
      </c>
      <c r="C26" s="178"/>
      <c r="D26" s="30" t="s">
        <v>210</v>
      </c>
    </row>
    <row r="27" spans="1:12" x14ac:dyDescent="0.3">
      <c r="A27" s="32">
        <v>4</v>
      </c>
      <c r="B27" s="36" t="s">
        <v>47</v>
      </c>
      <c r="C27" s="178"/>
      <c r="D27" s="30" t="s">
        <v>211</v>
      </c>
    </row>
    <row r="28" spans="1:12" x14ac:dyDescent="0.3">
      <c r="A28" s="32">
        <v>5</v>
      </c>
      <c r="B28" s="36" t="s">
        <v>110</v>
      </c>
      <c r="C28" s="178"/>
      <c r="D28" s="30" t="s">
        <v>212</v>
      </c>
    </row>
    <row r="29" spans="1:12" x14ac:dyDescent="0.3">
      <c r="A29" s="32">
        <v>6</v>
      </c>
      <c r="B29" s="36" t="s">
        <v>53</v>
      </c>
      <c r="C29" s="178"/>
      <c r="D29" s="30" t="s">
        <v>213</v>
      </c>
    </row>
    <row r="30" spans="1:12" x14ac:dyDescent="0.3">
      <c r="A30" s="32">
        <v>7</v>
      </c>
      <c r="B30" s="36" t="s">
        <v>48</v>
      </c>
      <c r="C30" s="178"/>
      <c r="D30" s="30" t="s">
        <v>214</v>
      </c>
    </row>
    <row r="31" spans="1:12" x14ac:dyDescent="0.3">
      <c r="A31" s="39"/>
      <c r="B31" s="39"/>
      <c r="C31" s="39"/>
      <c r="D31" s="30"/>
    </row>
    <row r="32" spans="1:12" x14ac:dyDescent="0.3">
      <c r="A32" s="31">
        <v>1</v>
      </c>
      <c r="B32" s="30" t="s">
        <v>117</v>
      </c>
      <c r="C32" s="177" t="s">
        <v>41</v>
      </c>
      <c r="D32" s="30" t="s">
        <v>220</v>
      </c>
    </row>
    <row r="33" spans="1:4" x14ac:dyDescent="0.3">
      <c r="A33" s="31">
        <v>2</v>
      </c>
      <c r="B33" s="30" t="s">
        <v>118</v>
      </c>
      <c r="C33" s="178"/>
      <c r="D33" s="30" t="s">
        <v>221</v>
      </c>
    </row>
    <row r="34" spans="1:4" x14ac:dyDescent="0.3">
      <c r="A34" s="31">
        <v>3</v>
      </c>
      <c r="B34" s="30" t="s">
        <v>119</v>
      </c>
      <c r="C34" s="179"/>
      <c r="D34" s="30" t="s">
        <v>222</v>
      </c>
    </row>
  </sheetData>
  <mergeCells count="6">
    <mergeCell ref="L2:L5"/>
    <mergeCell ref="L7:L12"/>
    <mergeCell ref="C14:C21"/>
    <mergeCell ref="C32:C34"/>
    <mergeCell ref="C24:C30"/>
    <mergeCell ref="C2:C1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21" sqref="B21"/>
    </sheetView>
  </sheetViews>
  <sheetFormatPr defaultRowHeight="13.8" x14ac:dyDescent="0.3"/>
  <cols>
    <col min="2" max="2" width="38.88671875" bestFit="1" customWidth="1"/>
  </cols>
  <sheetData>
    <row r="1" spans="1:2" ht="15.6" x14ac:dyDescent="0.3">
      <c r="A1" s="29" t="s">
        <v>90</v>
      </c>
      <c r="B1" s="29" t="s">
        <v>371</v>
      </c>
    </row>
    <row r="2" spans="1:2" ht="15.6" x14ac:dyDescent="0.3">
      <c r="A2" s="32">
        <v>1</v>
      </c>
      <c r="B2" s="30" t="s">
        <v>381</v>
      </c>
    </row>
    <row r="3" spans="1:2" ht="15.6" x14ac:dyDescent="0.3">
      <c r="A3" s="32">
        <v>2</v>
      </c>
      <c r="B3" s="30" t="s">
        <v>382</v>
      </c>
    </row>
    <row r="4" spans="1:2" ht="15.6" x14ac:dyDescent="0.3">
      <c r="A4" s="32">
        <v>3</v>
      </c>
      <c r="B4" s="30" t="s">
        <v>374</v>
      </c>
    </row>
    <row r="5" spans="1:2" ht="15.6" x14ac:dyDescent="0.3">
      <c r="A5" s="32">
        <v>4</v>
      </c>
      <c r="B5" s="30" t="s">
        <v>372</v>
      </c>
    </row>
    <row r="6" spans="1:2" ht="15.6" x14ac:dyDescent="0.3">
      <c r="A6" s="32">
        <v>5</v>
      </c>
      <c r="B6" s="30" t="s">
        <v>373</v>
      </c>
    </row>
    <row r="7" spans="1:2" ht="15.6" x14ac:dyDescent="0.3">
      <c r="A7" s="32">
        <v>6</v>
      </c>
      <c r="B7" s="30" t="s">
        <v>375</v>
      </c>
    </row>
    <row r="8" spans="1:2" ht="15.6" x14ac:dyDescent="0.3">
      <c r="A8" s="32">
        <v>7</v>
      </c>
      <c r="B8" s="30" t="s">
        <v>375</v>
      </c>
    </row>
    <row r="9" spans="1:2" ht="15.6" x14ac:dyDescent="0.3">
      <c r="A9" s="32">
        <v>8</v>
      </c>
      <c r="B9" s="30" t="s">
        <v>376</v>
      </c>
    </row>
    <row r="10" spans="1:2" ht="15.6" x14ac:dyDescent="0.3">
      <c r="A10" s="32">
        <v>9</v>
      </c>
      <c r="B10" s="30" t="s">
        <v>377</v>
      </c>
    </row>
    <row r="11" spans="1:2" ht="15.6" x14ac:dyDescent="0.3">
      <c r="A11" s="32">
        <v>10</v>
      </c>
      <c r="B11" s="30" t="s">
        <v>378</v>
      </c>
    </row>
    <row r="12" spans="1:2" ht="15.6" x14ac:dyDescent="0.3">
      <c r="A12" s="32">
        <v>11</v>
      </c>
      <c r="B12" s="30" t="s">
        <v>383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tint="-0.499984740745262"/>
    <pageSetUpPr autoPageBreaks="0" fitToPage="1"/>
  </sheetPr>
  <dimension ref="B1:C114"/>
  <sheetViews>
    <sheetView showGridLines="0" showWhiteSpace="0" topLeftCell="A28" zoomScaleNormal="100" workbookViewId="0">
      <selection activeCell="B18" sqref="B18"/>
    </sheetView>
  </sheetViews>
  <sheetFormatPr defaultColWidth="9.33203125" defaultRowHeight="13.2" x14ac:dyDescent="0.3"/>
  <cols>
    <col min="1" max="1" width="2" style="6" customWidth="1"/>
    <col min="2" max="2" width="87.88671875" style="6" customWidth="1"/>
    <col min="3" max="3" width="30.5546875" style="6" customWidth="1"/>
    <col min="4" max="16384" width="9.33203125" style="6"/>
  </cols>
  <sheetData>
    <row r="1" spans="2:3" ht="15" customHeight="1" x14ac:dyDescent="0.3">
      <c r="B1" s="191" t="s">
        <v>20</v>
      </c>
      <c r="C1" s="191"/>
    </row>
    <row r="2" spans="2:3" ht="21" customHeight="1" x14ac:dyDescent="0.3">
      <c r="B2" s="191"/>
      <c r="C2" s="191"/>
    </row>
    <row r="3" spans="2:3" ht="26.25" customHeight="1" x14ac:dyDescent="0.3">
      <c r="B3" s="7" t="s">
        <v>80</v>
      </c>
      <c r="C3" s="192" t="s">
        <v>21</v>
      </c>
    </row>
    <row r="4" spans="2:3" ht="26.25" customHeight="1" x14ac:dyDescent="0.3">
      <c r="B4" s="43" t="s">
        <v>120</v>
      </c>
      <c r="C4" s="193"/>
    </row>
    <row r="5" spans="2:3" ht="26.25" customHeight="1" x14ac:dyDescent="0.3">
      <c r="B5" s="7" t="s">
        <v>121</v>
      </c>
      <c r="C5" s="193"/>
    </row>
    <row r="6" spans="2:3" ht="26.25" customHeight="1" x14ac:dyDescent="0.3">
      <c r="B6" s="7" t="s">
        <v>122</v>
      </c>
      <c r="C6" s="193"/>
    </row>
    <row r="7" spans="2:3" ht="26.25" customHeight="1" x14ac:dyDescent="0.3">
      <c r="B7" s="7" t="s">
        <v>81</v>
      </c>
      <c r="C7" s="194"/>
    </row>
    <row r="8" spans="2:3" ht="26.25" customHeight="1" x14ac:dyDescent="0.3">
      <c r="B8" s="26"/>
      <c r="C8" s="42"/>
    </row>
    <row r="9" spans="2:3" ht="26.25" customHeight="1" x14ac:dyDescent="0.3">
      <c r="B9" s="26"/>
      <c r="C9" s="42"/>
    </row>
    <row r="10" spans="2:3" ht="26.25" customHeight="1" x14ac:dyDescent="0.3">
      <c r="B10" s="26"/>
      <c r="C10" s="42"/>
    </row>
    <row r="11" spans="2:3" ht="15" customHeight="1" x14ac:dyDescent="0.3">
      <c r="B11" s="201"/>
      <c r="C11" s="201"/>
    </row>
    <row r="12" spans="2:3" ht="26.25" customHeight="1" x14ac:dyDescent="0.3">
      <c r="B12" s="204" t="s">
        <v>84</v>
      </c>
      <c r="C12" s="205"/>
    </row>
    <row r="13" spans="2:3" ht="15" customHeight="1" x14ac:dyDescent="0.3">
      <c r="B13" s="8"/>
      <c r="C13" s="9"/>
    </row>
    <row r="14" spans="2:3" ht="21" x14ac:dyDescent="0.4">
      <c r="B14" s="10" t="s">
        <v>17</v>
      </c>
      <c r="C14" s="11"/>
    </row>
    <row r="15" spans="2:3" ht="6" customHeight="1" x14ac:dyDescent="0.3">
      <c r="B15" s="199"/>
      <c r="C15" s="200"/>
    </row>
    <row r="16" spans="2:3" ht="18.75" customHeight="1" x14ac:dyDescent="0.3">
      <c r="B16" s="206" t="s">
        <v>18</v>
      </c>
      <c r="C16" s="207"/>
    </row>
    <row r="17" spans="2:3" ht="18.75" customHeight="1" x14ac:dyDescent="0.3">
      <c r="B17" s="12"/>
      <c r="C17" s="13"/>
    </row>
    <row r="18" spans="2:3" ht="21" x14ac:dyDescent="0.4">
      <c r="B18" s="10" t="s">
        <v>73</v>
      </c>
      <c r="C18" s="14"/>
    </row>
    <row r="19" spans="2:3" ht="40.5" customHeight="1" x14ac:dyDescent="0.3">
      <c r="B19" s="197" t="s">
        <v>72</v>
      </c>
      <c r="C19" s="198"/>
    </row>
    <row r="20" spans="2:3" ht="25.5" customHeight="1" x14ac:dyDescent="0.4">
      <c r="B20" s="10" t="s">
        <v>74</v>
      </c>
      <c r="C20" s="10"/>
    </row>
    <row r="21" spans="2:3" ht="25.5" customHeight="1" x14ac:dyDescent="0.3">
      <c r="B21" s="197" t="s">
        <v>82</v>
      </c>
      <c r="C21" s="198"/>
    </row>
    <row r="22" spans="2:3" ht="15" customHeight="1" x14ac:dyDescent="0.3">
      <c r="B22" s="208"/>
      <c r="C22" s="209"/>
    </row>
    <row r="23" spans="2:3" ht="21" x14ac:dyDescent="0.4">
      <c r="B23" s="10" t="s">
        <v>75</v>
      </c>
      <c r="C23" s="11"/>
    </row>
    <row r="24" spans="2:3" ht="6" customHeight="1" x14ac:dyDescent="0.3">
      <c r="B24" s="199"/>
      <c r="C24" s="200"/>
    </row>
    <row r="25" spans="2:3" ht="35.25" customHeight="1" x14ac:dyDescent="0.3">
      <c r="B25" s="206" t="s">
        <v>19</v>
      </c>
      <c r="C25" s="207"/>
    </row>
    <row r="26" spans="2:3" ht="15" customHeight="1" x14ac:dyDescent="0.3">
      <c r="B26" s="202"/>
      <c r="C26" s="203"/>
    </row>
    <row r="27" spans="2:3" ht="24" customHeight="1" x14ac:dyDescent="0.3">
      <c r="B27" s="15" t="s">
        <v>77</v>
      </c>
      <c r="C27" s="16"/>
    </row>
    <row r="28" spans="2:3" ht="6" customHeight="1" x14ac:dyDescent="0.3">
      <c r="B28" s="195"/>
      <c r="C28" s="196"/>
    </row>
    <row r="29" spans="2:3" ht="15.6" x14ac:dyDescent="0.3">
      <c r="B29" s="182" t="s">
        <v>83</v>
      </c>
      <c r="C29" s="183"/>
    </row>
    <row r="30" spans="2:3" ht="15" customHeight="1" x14ac:dyDescent="0.3">
      <c r="B30" s="184"/>
      <c r="C30" s="184"/>
    </row>
    <row r="31" spans="2:3" ht="21" x14ac:dyDescent="0.3">
      <c r="B31" s="15" t="s">
        <v>78</v>
      </c>
      <c r="C31" s="17"/>
    </row>
    <row r="32" spans="2:3" ht="15" customHeight="1" x14ac:dyDescent="0.3">
      <c r="B32" s="26" t="s">
        <v>79</v>
      </c>
      <c r="C32" s="17"/>
    </row>
    <row r="33" spans="2:3" ht="15" customHeight="1" x14ac:dyDescent="0.3">
      <c r="B33" s="18"/>
      <c r="C33" s="18"/>
    </row>
    <row r="34" spans="2:3" ht="15" customHeight="1" x14ac:dyDescent="0.3">
      <c r="B34" s="18"/>
      <c r="C34" s="18"/>
    </row>
    <row r="35" spans="2:3" ht="34.5" customHeight="1" x14ac:dyDescent="0.3">
      <c r="B35" s="19" t="s">
        <v>30</v>
      </c>
      <c r="C35" s="20"/>
    </row>
    <row r="36" spans="2:3" ht="6" customHeight="1" x14ac:dyDescent="0.3">
      <c r="B36" s="185"/>
      <c r="C36" s="185"/>
    </row>
    <row r="37" spans="2:3" s="21" customFormat="1" ht="18" x14ac:dyDescent="0.3">
      <c r="B37" s="186" t="s">
        <v>31</v>
      </c>
      <c r="C37" s="187"/>
    </row>
    <row r="38" spans="2:3" ht="15" customHeight="1" x14ac:dyDescent="0.3">
      <c r="B38" s="188" t="s">
        <v>25</v>
      </c>
      <c r="C38" s="185"/>
    </row>
    <row r="39" spans="2:3" ht="18" x14ac:dyDescent="0.3">
      <c r="B39" s="22" t="s">
        <v>32</v>
      </c>
      <c r="C39" s="23"/>
    </row>
    <row r="40" spans="2:3" ht="18" x14ac:dyDescent="0.3">
      <c r="B40" s="188" t="s">
        <v>26</v>
      </c>
      <c r="C40" s="185"/>
    </row>
    <row r="41" spans="2:3" ht="15.75" customHeight="1" x14ac:dyDescent="0.3">
      <c r="B41" s="189" t="s">
        <v>27</v>
      </c>
      <c r="C41" s="190"/>
    </row>
    <row r="42" spans="2:3" ht="18" x14ac:dyDescent="0.3">
      <c r="B42" s="180" t="s">
        <v>28</v>
      </c>
      <c r="C42" s="181"/>
    </row>
    <row r="43" spans="2:3" ht="18" x14ac:dyDescent="0.3">
      <c r="B43" s="24" t="s">
        <v>29</v>
      </c>
      <c r="C43" s="25"/>
    </row>
    <row r="44" spans="2:3" ht="18" x14ac:dyDescent="0.3">
      <c r="B44" s="25"/>
      <c r="C44" s="25"/>
    </row>
    <row r="45" spans="2:3" ht="18" x14ac:dyDescent="0.3">
      <c r="B45" s="25"/>
      <c r="C45" s="25"/>
    </row>
    <row r="46" spans="2:3" ht="18" x14ac:dyDescent="0.3">
      <c r="B46" s="25"/>
      <c r="C46" s="25"/>
    </row>
    <row r="47" spans="2:3" ht="18" x14ac:dyDescent="0.3">
      <c r="B47" s="25"/>
      <c r="C47" s="25"/>
    </row>
    <row r="48" spans="2:3" ht="18" x14ac:dyDescent="0.3">
      <c r="B48" s="25"/>
      <c r="C48" s="25"/>
    </row>
    <row r="49" spans="2:3" ht="18" x14ac:dyDescent="0.3">
      <c r="B49" s="25"/>
      <c r="C49" s="25"/>
    </row>
    <row r="50" spans="2:3" ht="18" x14ac:dyDescent="0.3">
      <c r="B50" s="25"/>
      <c r="C50" s="25"/>
    </row>
    <row r="51" spans="2:3" ht="18" x14ac:dyDescent="0.3">
      <c r="B51" s="25"/>
      <c r="C51" s="25"/>
    </row>
    <row r="52" spans="2:3" ht="18" x14ac:dyDescent="0.3">
      <c r="B52" s="25"/>
      <c r="C52" s="25"/>
    </row>
    <row r="53" spans="2:3" ht="18" x14ac:dyDescent="0.3">
      <c r="B53" s="25"/>
      <c r="C53" s="25"/>
    </row>
    <row r="54" spans="2:3" ht="18" x14ac:dyDescent="0.3">
      <c r="B54" s="25"/>
      <c r="C54" s="25"/>
    </row>
    <row r="55" spans="2:3" ht="18" x14ac:dyDescent="0.3">
      <c r="B55" s="25"/>
      <c r="C55" s="25"/>
    </row>
    <row r="56" spans="2:3" ht="18" x14ac:dyDescent="0.3">
      <c r="B56" s="25"/>
      <c r="C56" s="25"/>
    </row>
    <row r="57" spans="2:3" ht="18" x14ac:dyDescent="0.3">
      <c r="B57" s="25"/>
      <c r="C57" s="25"/>
    </row>
    <row r="58" spans="2:3" ht="18" x14ac:dyDescent="0.3">
      <c r="B58" s="25"/>
      <c r="C58" s="25"/>
    </row>
    <row r="59" spans="2:3" ht="18" x14ac:dyDescent="0.3">
      <c r="B59" s="25"/>
      <c r="C59" s="25"/>
    </row>
    <row r="60" spans="2:3" ht="18" x14ac:dyDescent="0.3">
      <c r="B60" s="25"/>
      <c r="C60" s="25"/>
    </row>
    <row r="61" spans="2:3" ht="18" x14ac:dyDescent="0.3">
      <c r="B61" s="25"/>
      <c r="C61" s="25"/>
    </row>
    <row r="62" spans="2:3" ht="18" x14ac:dyDescent="0.3">
      <c r="B62" s="25"/>
      <c r="C62" s="25"/>
    </row>
    <row r="63" spans="2:3" ht="18" x14ac:dyDescent="0.3">
      <c r="B63" s="25"/>
      <c r="C63" s="25"/>
    </row>
    <row r="64" spans="2:3" ht="18" x14ac:dyDescent="0.3">
      <c r="B64" s="25"/>
      <c r="C64" s="25"/>
    </row>
    <row r="65" spans="2:3" ht="18" x14ac:dyDescent="0.3">
      <c r="B65" s="25"/>
      <c r="C65" s="25"/>
    </row>
    <row r="66" spans="2:3" ht="18" x14ac:dyDescent="0.3">
      <c r="B66" s="25"/>
      <c r="C66" s="25"/>
    </row>
    <row r="67" spans="2:3" ht="18" x14ac:dyDescent="0.3">
      <c r="B67" s="25"/>
      <c r="C67" s="25"/>
    </row>
    <row r="68" spans="2:3" ht="18" x14ac:dyDescent="0.3">
      <c r="B68" s="25"/>
      <c r="C68" s="25"/>
    </row>
    <row r="69" spans="2:3" ht="18" x14ac:dyDescent="0.3">
      <c r="B69" s="25"/>
      <c r="C69" s="25"/>
    </row>
    <row r="70" spans="2:3" ht="18" x14ac:dyDescent="0.3">
      <c r="B70" s="25"/>
      <c r="C70" s="25"/>
    </row>
    <row r="71" spans="2:3" ht="18" x14ac:dyDescent="0.3">
      <c r="B71" s="25"/>
      <c r="C71" s="25"/>
    </row>
    <row r="72" spans="2:3" ht="18" x14ac:dyDescent="0.3">
      <c r="B72" s="25"/>
      <c r="C72" s="25"/>
    </row>
    <row r="73" spans="2:3" ht="18" x14ac:dyDescent="0.3">
      <c r="B73" s="25"/>
      <c r="C73" s="25"/>
    </row>
    <row r="74" spans="2:3" ht="18" x14ac:dyDescent="0.3">
      <c r="B74" s="25"/>
      <c r="C74" s="25"/>
    </row>
    <row r="75" spans="2:3" ht="18" x14ac:dyDescent="0.3">
      <c r="B75" s="25"/>
      <c r="C75" s="25"/>
    </row>
    <row r="76" spans="2:3" ht="18" x14ac:dyDescent="0.3">
      <c r="B76" s="25"/>
      <c r="C76" s="25"/>
    </row>
    <row r="77" spans="2:3" ht="18" x14ac:dyDescent="0.3">
      <c r="B77" s="25"/>
      <c r="C77" s="25"/>
    </row>
    <row r="78" spans="2:3" ht="18" x14ac:dyDescent="0.3">
      <c r="B78" s="25"/>
      <c r="C78" s="25"/>
    </row>
    <row r="79" spans="2:3" ht="18" x14ac:dyDescent="0.3">
      <c r="B79" s="25"/>
      <c r="C79" s="25"/>
    </row>
    <row r="80" spans="2:3" ht="18" x14ac:dyDescent="0.3">
      <c r="B80" s="25"/>
      <c r="C80" s="25"/>
    </row>
    <row r="81" spans="2:3" ht="18" x14ac:dyDescent="0.3">
      <c r="B81" s="25"/>
      <c r="C81" s="25"/>
    </row>
    <row r="82" spans="2:3" ht="18" x14ac:dyDescent="0.3">
      <c r="B82" s="25"/>
      <c r="C82" s="25"/>
    </row>
    <row r="83" spans="2:3" ht="18" x14ac:dyDescent="0.3">
      <c r="B83" s="25"/>
      <c r="C83" s="25"/>
    </row>
    <row r="84" spans="2:3" ht="18" x14ac:dyDescent="0.3">
      <c r="B84" s="25"/>
      <c r="C84" s="25"/>
    </row>
    <row r="85" spans="2:3" ht="18" x14ac:dyDescent="0.3">
      <c r="B85" s="25"/>
      <c r="C85" s="25"/>
    </row>
    <row r="86" spans="2:3" ht="18" x14ac:dyDescent="0.3">
      <c r="B86" s="25"/>
      <c r="C86" s="25"/>
    </row>
    <row r="87" spans="2:3" ht="18" x14ac:dyDescent="0.3">
      <c r="B87" s="25"/>
      <c r="C87" s="25"/>
    </row>
    <row r="88" spans="2:3" ht="18" x14ac:dyDescent="0.3">
      <c r="B88" s="25"/>
      <c r="C88" s="25"/>
    </row>
    <row r="89" spans="2:3" ht="18" x14ac:dyDescent="0.3">
      <c r="B89" s="25"/>
      <c r="C89" s="25"/>
    </row>
    <row r="90" spans="2:3" ht="18" x14ac:dyDescent="0.3">
      <c r="B90" s="25"/>
      <c r="C90" s="25"/>
    </row>
    <row r="91" spans="2:3" ht="18" x14ac:dyDescent="0.3">
      <c r="B91" s="25"/>
      <c r="C91" s="25"/>
    </row>
    <row r="92" spans="2:3" ht="18" x14ac:dyDescent="0.3">
      <c r="B92" s="25"/>
      <c r="C92" s="25"/>
    </row>
    <row r="93" spans="2:3" ht="18" x14ac:dyDescent="0.3">
      <c r="B93" s="25"/>
      <c r="C93" s="25"/>
    </row>
    <row r="94" spans="2:3" ht="18" x14ac:dyDescent="0.3">
      <c r="B94" s="25"/>
      <c r="C94" s="25"/>
    </row>
    <row r="95" spans="2:3" ht="18" x14ac:dyDescent="0.3">
      <c r="B95" s="25"/>
      <c r="C95" s="25"/>
    </row>
    <row r="96" spans="2:3" ht="18" x14ac:dyDescent="0.3">
      <c r="B96" s="25"/>
      <c r="C96" s="25"/>
    </row>
    <row r="97" spans="2:3" ht="18" x14ac:dyDescent="0.3">
      <c r="B97" s="25"/>
      <c r="C97" s="25"/>
    </row>
    <row r="98" spans="2:3" ht="18" x14ac:dyDescent="0.3">
      <c r="B98" s="25"/>
      <c r="C98" s="25"/>
    </row>
    <row r="99" spans="2:3" ht="18" x14ac:dyDescent="0.3">
      <c r="B99" s="25"/>
      <c r="C99" s="25"/>
    </row>
    <row r="100" spans="2:3" ht="18" x14ac:dyDescent="0.3">
      <c r="B100" s="25"/>
      <c r="C100" s="25"/>
    </row>
    <row r="101" spans="2:3" ht="18" x14ac:dyDescent="0.3">
      <c r="B101" s="25"/>
      <c r="C101" s="25"/>
    </row>
    <row r="102" spans="2:3" ht="18" x14ac:dyDescent="0.3">
      <c r="B102" s="25"/>
      <c r="C102" s="25"/>
    </row>
    <row r="103" spans="2:3" ht="18" x14ac:dyDescent="0.3">
      <c r="B103" s="25"/>
      <c r="C103" s="25"/>
    </row>
    <row r="104" spans="2:3" ht="18" x14ac:dyDescent="0.3">
      <c r="B104" s="25"/>
      <c r="C104" s="25"/>
    </row>
    <row r="105" spans="2:3" ht="18" x14ac:dyDescent="0.3">
      <c r="B105" s="25"/>
      <c r="C105" s="25"/>
    </row>
    <row r="106" spans="2:3" ht="18" x14ac:dyDescent="0.3">
      <c r="B106" s="25"/>
      <c r="C106" s="25"/>
    </row>
    <row r="107" spans="2:3" ht="18" x14ac:dyDescent="0.3">
      <c r="B107" s="25"/>
      <c r="C107" s="25"/>
    </row>
    <row r="108" spans="2:3" ht="18" x14ac:dyDescent="0.3">
      <c r="B108" s="25"/>
      <c r="C108" s="25"/>
    </row>
    <row r="109" spans="2:3" ht="18" x14ac:dyDescent="0.3">
      <c r="B109" s="25"/>
      <c r="C109" s="25"/>
    </row>
    <row r="110" spans="2:3" ht="18" x14ac:dyDescent="0.3">
      <c r="B110" s="25"/>
      <c r="C110" s="25"/>
    </row>
    <row r="111" spans="2:3" ht="18" x14ac:dyDescent="0.3">
      <c r="B111" s="25"/>
      <c r="C111" s="25"/>
    </row>
    <row r="112" spans="2:3" ht="18" x14ac:dyDescent="0.3">
      <c r="B112" s="25"/>
      <c r="C112" s="25"/>
    </row>
    <row r="113" spans="2:3" ht="18" x14ac:dyDescent="0.3">
      <c r="B113" s="25"/>
      <c r="C113" s="25"/>
    </row>
    <row r="114" spans="2:3" ht="18" x14ac:dyDescent="0.3">
      <c r="B114" s="25"/>
      <c r="C114" s="25"/>
    </row>
  </sheetData>
  <mergeCells count="21">
    <mergeCell ref="B1:C2"/>
    <mergeCell ref="C3:C7"/>
    <mergeCell ref="B28:C28"/>
    <mergeCell ref="B21:C21"/>
    <mergeCell ref="B24:C24"/>
    <mergeCell ref="B11:C11"/>
    <mergeCell ref="B26:C26"/>
    <mergeCell ref="B12:C12"/>
    <mergeCell ref="B16:C16"/>
    <mergeCell ref="B15:C15"/>
    <mergeCell ref="B22:C22"/>
    <mergeCell ref="B19:C19"/>
    <mergeCell ref="B25:C25"/>
    <mergeCell ref="B42:C42"/>
    <mergeCell ref="B29:C29"/>
    <mergeCell ref="B30:C30"/>
    <mergeCell ref="B36:C36"/>
    <mergeCell ref="B37:C37"/>
    <mergeCell ref="B38:C38"/>
    <mergeCell ref="B41:C41"/>
    <mergeCell ref="B40:C40"/>
  </mergeCells>
  <printOptions horizontalCentered="1"/>
  <pageMargins left="0.7" right="0.7" top="0.75" bottom="0.75" header="0.3" footer="0.3"/>
  <pageSetup scale="77" fitToHeight="0" orientation="portrait"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3838C251-38B0-4315-8DC2-18E045DA5AE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Tracking</vt:lpstr>
      <vt:lpstr>Task</vt:lpstr>
      <vt:lpstr>Rule</vt:lpstr>
      <vt:lpstr>MENU</vt:lpstr>
      <vt:lpstr>Biểu mẫu</vt:lpstr>
      <vt:lpstr>Công việc</vt:lpstr>
      <vt:lpstr>Help</vt:lpstr>
      <vt:lpstr>Help!Print_Area</vt:lpstr>
      <vt:lpstr>Tracking!Print_Titles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SUNTECH</dc:creator>
  <cp:lastModifiedBy>Nguyen Xuan Hoa (user)</cp:lastModifiedBy>
  <cp:lastPrinted>2014-04-08T00:21:50Z</cp:lastPrinted>
  <dcterms:created xsi:type="dcterms:W3CDTF">2016-09-30T18:46:17Z</dcterms:created>
  <dcterms:modified xsi:type="dcterms:W3CDTF">2026-07-17T07:33:49Z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TC042515679991</vt:lpwstr>
  </property>
</Properties>
</file>